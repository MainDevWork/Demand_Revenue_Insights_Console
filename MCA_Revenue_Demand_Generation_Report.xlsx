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CCLEA~1\AppData\Local\Temp\claude\c--Users-IC-Clearwater-OneDrive-Documents-GitHub-Demand-Revenue-Insights-Console\d9369524-f00a-44d4-8087-4ed1242079d6\scratchpad\"/>
    </mc:Choice>
  </mc:AlternateContent>
  <xr:revisionPtr revIDLastSave="0" documentId="13_ncr:1_{F8A82065-9B93-4A8A-B33F-4386A43754B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ReadMe" sheetId="9" r:id="rId1"/>
    <sheet name="MAIN DASHBOARD" sheetId="2" r:id="rId2"/>
    <sheet name="Analysis Dashboard" sheetId="3" r:id="rId3"/>
    <sheet name="Demand_Input" sheetId="6" r:id="rId4"/>
    <sheet name="Revenue_Input" sheetId="7" r:id="rId5"/>
    <sheet name="Analysis_Calc" sheetId="4" r:id="rId6"/>
    <sheet name="Calculations" sheetId="5" r:id="rId7"/>
    <sheet name="Lists" sheetId="8" r:id="rId8"/>
  </sheets>
  <definedNames>
    <definedName name="DemandGroups">Lists!$A$4:$A$7</definedName>
    <definedName name="DemandStreams">Lists!$B$4:$B$7</definedName>
    <definedName name="_xlnm.Print_Area" localSheetId="1">'MAIN DASHBOARD'!$A$1:$L$32</definedName>
    <definedName name="RevenueGroups">Lists!$D$4:$D$7</definedName>
    <definedName name="RevenueStreams">Lists!$E$4:$E$7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5" l="1"/>
  <c r="B4" i="5" s="1"/>
  <c r="E29" i="4"/>
  <c r="A29" i="4"/>
  <c r="E28" i="4"/>
  <c r="A28" i="4"/>
  <c r="E27" i="4"/>
  <c r="A27" i="4"/>
  <c r="E26" i="4"/>
  <c r="A26" i="4"/>
  <c r="B2" i="3"/>
  <c r="C19" i="2"/>
  <c r="B19" i="2"/>
  <c r="C18" i="2"/>
  <c r="B18" i="2"/>
  <c r="C17" i="2"/>
  <c r="B17" i="2"/>
  <c r="C16" i="2"/>
  <c r="B16" i="2"/>
  <c r="C11" i="2"/>
  <c r="B11" i="2"/>
  <c r="C10" i="2"/>
  <c r="B10" i="2"/>
  <c r="C9" i="2"/>
  <c r="B9" i="2"/>
  <c r="C8" i="2"/>
  <c r="B8" i="2"/>
  <c r="A1" i="2"/>
  <c r="B3" i="5" l="1"/>
  <c r="B7" i="5" s="1"/>
  <c r="F23" i="5" s="1"/>
  <c r="B15" i="4"/>
  <c r="B11" i="4"/>
  <c r="B7" i="4"/>
  <c r="B14" i="4"/>
  <c r="B6" i="4"/>
  <c r="B21" i="4"/>
  <c r="B22" i="4"/>
  <c r="B20" i="4"/>
  <c r="B10" i="4"/>
  <c r="B9" i="4"/>
  <c r="B10" i="5"/>
  <c r="B12" i="4"/>
  <c r="B8" i="4"/>
  <c r="B4" i="4"/>
  <c r="B19" i="4"/>
  <c r="B13" i="4"/>
  <c r="B5" i="4"/>
  <c r="C14" i="5" l="1"/>
  <c r="E8" i="2" s="1"/>
  <c r="B6" i="5"/>
  <c r="B5" i="5"/>
  <c r="C23" i="5"/>
  <c r="E16" i="2" s="1"/>
  <c r="F16" i="5"/>
  <c r="H10" i="2" s="1"/>
  <c r="F26" i="5"/>
  <c r="H19" i="2" s="1"/>
  <c r="C24" i="5"/>
  <c r="E17" i="2" s="1"/>
  <c r="F17" i="5"/>
  <c r="H11" i="2" s="1"/>
  <c r="B9" i="5"/>
  <c r="C16" i="5"/>
  <c r="E10" i="2" s="1"/>
  <c r="C17" i="5"/>
  <c r="E11" i="2" s="1"/>
  <c r="C26" i="5"/>
  <c r="E19" i="2" s="1"/>
  <c r="F25" i="5"/>
  <c r="H18" i="2" s="1"/>
  <c r="F14" i="5"/>
  <c r="H8" i="2" s="1"/>
  <c r="C15" i="5"/>
  <c r="B8" i="5"/>
  <c r="F24" i="5"/>
  <c r="H17" i="2" s="1"/>
  <c r="F15" i="5"/>
  <c r="H9" i="2" s="1"/>
  <c r="C25" i="5"/>
  <c r="E18" i="2" s="1"/>
  <c r="D22" i="4"/>
  <c r="C22" i="4"/>
  <c r="I26" i="5"/>
  <c r="I16" i="5"/>
  <c r="I24" i="5"/>
  <c r="I14" i="5"/>
  <c r="I17" i="5"/>
  <c r="I25" i="5"/>
  <c r="I15" i="5"/>
  <c r="I23" i="5"/>
  <c r="I5" i="4"/>
  <c r="H5" i="4"/>
  <c r="F5" i="4"/>
  <c r="A5" i="4"/>
  <c r="E5" i="4"/>
  <c r="D5" i="4"/>
  <c r="C5" i="4"/>
  <c r="K5" i="4"/>
  <c r="J5" i="4"/>
  <c r="I13" i="4"/>
  <c r="H13" i="4"/>
  <c r="G13" i="4"/>
  <c r="O13" i="4" s="1"/>
  <c r="D13" i="4"/>
  <c r="M13" i="4"/>
  <c r="F13" i="4"/>
  <c r="A13" i="4"/>
  <c r="E13" i="4"/>
  <c r="C13" i="4"/>
  <c r="L13" i="4"/>
  <c r="N13" i="4" s="1"/>
  <c r="K13" i="4"/>
  <c r="J13" i="4"/>
  <c r="I9" i="4"/>
  <c r="H9" i="4"/>
  <c r="E9" i="4"/>
  <c r="D9" i="4"/>
  <c r="F9" i="4"/>
  <c r="A9" i="4"/>
  <c r="C9" i="4"/>
  <c r="K9" i="4"/>
  <c r="J9" i="4"/>
  <c r="F6" i="4"/>
  <c r="E6" i="4"/>
  <c r="J6" i="4"/>
  <c r="D6" i="4"/>
  <c r="A6" i="4"/>
  <c r="C6" i="4"/>
  <c r="I6" i="4"/>
  <c r="H6" i="4"/>
  <c r="K6" i="4"/>
  <c r="F14" i="4"/>
  <c r="E14" i="4"/>
  <c r="D14" i="4"/>
  <c r="C14" i="4"/>
  <c r="K14" i="4"/>
  <c r="J14" i="4"/>
  <c r="M14" i="4"/>
  <c r="A14" i="4"/>
  <c r="L14" i="4"/>
  <c r="N14" i="4" s="1"/>
  <c r="I14" i="4"/>
  <c r="H14" i="4"/>
  <c r="G14" i="4"/>
  <c r="O14" i="4" s="1"/>
  <c r="C7" i="4"/>
  <c r="A7" i="4"/>
  <c r="K7" i="4"/>
  <c r="J7" i="4"/>
  <c r="I7" i="4"/>
  <c r="H7" i="4"/>
  <c r="F7" i="4"/>
  <c r="E7" i="4"/>
  <c r="D7" i="4"/>
  <c r="C11" i="4"/>
  <c r="K11" i="4"/>
  <c r="M11" i="4"/>
  <c r="A11" i="4"/>
  <c r="L11" i="4"/>
  <c r="N11" i="4" s="1"/>
  <c r="G11" i="4"/>
  <c r="O11" i="4" s="1"/>
  <c r="J11" i="4"/>
  <c r="I11" i="4"/>
  <c r="F11" i="4"/>
  <c r="E11" i="4"/>
  <c r="D11" i="4"/>
  <c r="H11" i="4"/>
  <c r="C15" i="4"/>
  <c r="G15" i="4"/>
  <c r="O15" i="4" s="1"/>
  <c r="M15" i="4"/>
  <c r="A15" i="4"/>
  <c r="H15" i="4"/>
  <c r="L15" i="4"/>
  <c r="N15" i="4" s="1"/>
  <c r="K15" i="4"/>
  <c r="J15" i="4"/>
  <c r="I15" i="4"/>
  <c r="F15" i="4"/>
  <c r="E15" i="4"/>
  <c r="D15" i="4"/>
  <c r="K4" i="4"/>
  <c r="J4" i="4"/>
  <c r="I4" i="4"/>
  <c r="H4" i="4"/>
  <c r="D4" i="4"/>
  <c r="F4" i="4"/>
  <c r="E4" i="4"/>
  <c r="C4" i="4"/>
  <c r="A4" i="4"/>
  <c r="K8" i="4"/>
  <c r="H8" i="4"/>
  <c r="J8" i="4"/>
  <c r="I8" i="4"/>
  <c r="D8" i="4"/>
  <c r="F8" i="4"/>
  <c r="C8" i="4"/>
  <c r="A8" i="4"/>
  <c r="E8" i="4"/>
  <c r="L12" i="4"/>
  <c r="N12" i="4" s="1"/>
  <c r="K12" i="4"/>
  <c r="J12" i="4"/>
  <c r="H12" i="4"/>
  <c r="I12" i="4"/>
  <c r="D12" i="4"/>
  <c r="G12" i="4"/>
  <c r="O12" i="4" s="1"/>
  <c r="F12" i="4"/>
  <c r="E12" i="4"/>
  <c r="C12" i="4"/>
  <c r="M12" i="4"/>
  <c r="A12" i="4"/>
  <c r="F10" i="4"/>
  <c r="E10" i="4"/>
  <c r="D10" i="4"/>
  <c r="A10" i="4"/>
  <c r="C10" i="4"/>
  <c r="J10" i="4"/>
  <c r="K10" i="4"/>
  <c r="I10" i="4"/>
  <c r="H10" i="4"/>
  <c r="E9" i="2"/>
  <c r="H16" i="2"/>
  <c r="D15" i="5" l="1"/>
  <c r="E15" i="5" s="1"/>
  <c r="F9" i="2" s="1"/>
  <c r="D26" i="5"/>
  <c r="E26" i="5" s="1"/>
  <c r="F19" i="2" s="1"/>
  <c r="D16" i="5"/>
  <c r="E16" i="5" s="1"/>
  <c r="F10" i="2" s="1"/>
  <c r="D25" i="5"/>
  <c r="E25" i="5" s="1"/>
  <c r="F18" i="2" s="1"/>
  <c r="G14" i="5"/>
  <c r="H14" i="5" s="1"/>
  <c r="I8" i="2" s="1"/>
  <c r="D23" i="5"/>
  <c r="E23" i="5" s="1"/>
  <c r="F16" i="2" s="1"/>
  <c r="D17" i="5"/>
  <c r="E17" i="5" s="1"/>
  <c r="F11" i="2" s="1"/>
  <c r="D14" i="5"/>
  <c r="E14" i="5" s="1"/>
  <c r="F8" i="2" s="1"/>
  <c r="D24" i="5"/>
  <c r="E24" i="5" s="1"/>
  <c r="F17" i="2" s="1"/>
  <c r="G17" i="5"/>
  <c r="H17" i="5" s="1"/>
  <c r="I11" i="2" s="1"/>
  <c r="L8" i="4"/>
  <c r="N8" i="4" s="1"/>
  <c r="G24" i="5"/>
  <c r="H24" i="5" s="1"/>
  <c r="I17" i="2" s="1"/>
  <c r="G26" i="5"/>
  <c r="H26" i="5" s="1"/>
  <c r="I19" i="2" s="1"/>
  <c r="G16" i="5"/>
  <c r="H16" i="5" s="1"/>
  <c r="I10" i="2" s="1"/>
  <c r="G23" i="5"/>
  <c r="H23" i="5" s="1"/>
  <c r="I16" i="2" s="1"/>
  <c r="G15" i="5"/>
  <c r="H15" i="5" s="1"/>
  <c r="I9" i="2" s="1"/>
  <c r="G25" i="5"/>
  <c r="H25" i="5" s="1"/>
  <c r="I18" i="2" s="1"/>
  <c r="G7" i="4"/>
  <c r="O7" i="4" s="1"/>
  <c r="G5" i="4"/>
  <c r="O5" i="4" s="1"/>
  <c r="L4" i="4"/>
  <c r="N4" i="4" s="1"/>
  <c r="M4" i="4" s="1"/>
  <c r="G10" i="4"/>
  <c r="O10" i="4" s="1"/>
  <c r="C21" i="4" s="1"/>
  <c r="G4" i="4"/>
  <c r="O4" i="4" s="1"/>
  <c r="G8" i="4"/>
  <c r="O8" i="4" s="1"/>
  <c r="G9" i="4"/>
  <c r="O9" i="4" s="1"/>
  <c r="L10" i="4"/>
  <c r="N10" i="4" s="1"/>
  <c r="D21" i="4" s="1"/>
  <c r="L6" i="4"/>
  <c r="N6" i="4" s="1"/>
  <c r="L7" i="4"/>
  <c r="N7" i="4" s="1"/>
  <c r="L5" i="4"/>
  <c r="N5" i="4" s="1"/>
  <c r="G6" i="4"/>
  <c r="O6" i="4" s="1"/>
  <c r="L9" i="4"/>
  <c r="N9" i="4" s="1"/>
  <c r="K10" i="2"/>
  <c r="B28" i="4"/>
  <c r="F29" i="4"/>
  <c r="K19" i="2"/>
  <c r="I27" i="5"/>
  <c r="K16" i="2"/>
  <c r="F26" i="4"/>
  <c r="K9" i="2"/>
  <c r="B27" i="4"/>
  <c r="K18" i="2"/>
  <c r="F28" i="4"/>
  <c r="B29" i="4"/>
  <c r="K11" i="2"/>
  <c r="I18" i="5"/>
  <c r="K8" i="2"/>
  <c r="B26" i="4"/>
  <c r="F27" i="4"/>
  <c r="K17" i="2"/>
  <c r="M6" i="4" l="1"/>
  <c r="C19" i="4"/>
  <c r="C20" i="4"/>
  <c r="M9" i="4"/>
  <c r="D20" i="4"/>
  <c r="M7" i="4"/>
  <c r="M10" i="4"/>
  <c r="M5" i="4"/>
  <c r="D19" i="4"/>
  <c r="M8" i="4"/>
  <c r="B36" i="4"/>
  <c r="K5" i="3" s="1"/>
  <c r="G26" i="4"/>
  <c r="B37" i="4"/>
  <c r="N5" i="3" s="1"/>
  <c r="C27" i="4"/>
  <c r="G28" i="4"/>
  <c r="C28" i="4"/>
  <c r="B38" i="4"/>
  <c r="C26" i="4"/>
  <c r="L8" i="2"/>
  <c r="B33" i="4"/>
  <c r="B5" i="3" s="1"/>
  <c r="L16" i="2"/>
  <c r="B35" i="4"/>
  <c r="H5" i="3" s="1"/>
  <c r="B34" i="4"/>
  <c r="E5" i="3" s="1"/>
  <c r="C29" i="4"/>
  <c r="G29" i="4"/>
  <c r="G27" i="4"/>
</calcChain>
</file>

<file path=xl/sharedStrings.xml><?xml version="1.0" encoding="utf-8"?>
<sst xmlns="http://schemas.openxmlformats.org/spreadsheetml/2006/main" count="988" uniqueCount="152">
  <si>
    <t>Monthly</t>
  </si>
  <si>
    <t>Quarterly</t>
  </si>
  <si>
    <t>YTD</t>
  </si>
  <si>
    <t>▼</t>
  </si>
  <si>
    <t>Demand Generation</t>
  </si>
  <si>
    <t>Leads</t>
  </si>
  <si>
    <t>▶</t>
  </si>
  <si>
    <t>Business Group</t>
  </si>
  <si>
    <t>Campaign/Stream</t>
  </si>
  <si>
    <t>Current Month</t>
  </si>
  <si>
    <t>Month-to-Month %</t>
  </si>
  <si>
    <t>Current Quarter</t>
  </si>
  <si>
    <t>Quarter-to-Quarter %</t>
  </si>
  <si>
    <t>January to date</t>
  </si>
  <si>
    <t>Total</t>
  </si>
  <si>
    <t>Revenue Generation</t>
  </si>
  <si>
    <t>Revenue</t>
  </si>
  <si>
    <t>Note: current month and current quarter reflect the period to date; percentage movements compare the period to date against the full previous period.</t>
  </si>
  <si>
    <t>◆</t>
  </si>
  <si>
    <t>Insights</t>
  </si>
  <si>
    <t>Looking Ahead</t>
  </si>
  <si>
    <t>Campaign Performance Analysis</t>
  </si>
  <si>
    <t>YTD LEADS</t>
  </si>
  <si>
    <t>YTD REVENUE</t>
  </si>
  <si>
    <t>REVENUE PER LEAD</t>
  </si>
  <si>
    <t>BEST REVENUE MONTH</t>
  </si>
  <si>
    <t>TOP REVENUE GROUP</t>
  </si>
  <si>
    <t>Key Insights</t>
  </si>
  <si>
    <t>Commentary reflects data captured up to 17 July 2026 and is refreshed by the analyst at each monthly review. All figures above it recalculate automatically.</t>
  </si>
  <si>
    <t>Analysis engine — every figure recalculates automatically from the input tables. Do not type values here.</t>
  </si>
  <si>
    <t>Month</t>
  </si>
  <si>
    <t>Month Start</t>
  </si>
  <si>
    <t>JSE SheInvests</t>
  </si>
  <si>
    <t>Digital Marketing</t>
  </si>
  <si>
    <t>Events</t>
  </si>
  <si>
    <t>Marketing Services</t>
  </si>
  <si>
    <t>Leads Total</t>
  </si>
  <si>
    <t>Primary Markets</t>
  </si>
  <si>
    <t>Secondary Markets</t>
  </si>
  <si>
    <t>Information Services</t>
  </si>
  <si>
    <t>Issuer Services</t>
  </si>
  <si>
    <t>Revenue Total</t>
  </si>
  <si>
    <t>Cumulative Revenue</t>
  </si>
  <si>
    <t>Revenue (numeric)</t>
  </si>
  <si>
    <t>Leads (numeric)</t>
  </si>
  <si>
    <t>Quarter</t>
  </si>
  <si>
    <t>Quarter Start</t>
  </si>
  <si>
    <t>Revenue (R)</t>
  </si>
  <si>
    <t>Q1</t>
  </si>
  <si>
    <t>Q2</t>
  </si>
  <si>
    <t>Q3</t>
  </si>
  <si>
    <t>Q4</t>
  </si>
  <si>
    <t>Business Group (Demand)</t>
  </si>
  <si>
    <t>YTD Leads</t>
  </si>
  <si>
    <t>Share</t>
  </si>
  <si>
    <t>Business Group (Revenue)</t>
  </si>
  <si>
    <t>YTD Revenue (R)</t>
  </si>
  <si>
    <t>KPI helpers</t>
  </si>
  <si>
    <t>Revenue per Lead (R)</t>
  </si>
  <si>
    <t>Best Revenue Month</t>
  </si>
  <si>
    <t>Top Revenue Group</t>
  </si>
  <si>
    <t>Top Demand Group</t>
  </si>
  <si>
    <t>Date anchors</t>
  </si>
  <si>
    <t>Today</t>
  </si>
  <si>
    <t>Cur Month</t>
  </si>
  <si>
    <t>Cur Year</t>
  </si>
  <si>
    <t>Prev Month</t>
  </si>
  <si>
    <t>Prev Mth Year</t>
  </si>
  <si>
    <t>Cur Quarter</t>
  </si>
  <si>
    <t>Prev Quarter</t>
  </si>
  <si>
    <t>Prev Qtr Year</t>
  </si>
  <si>
    <t>Year Start</t>
  </si>
  <si>
    <t>DEMAND GENERATION (Leads)</t>
  </si>
  <si>
    <t>Stream</t>
  </si>
  <si>
    <t>MoM %</t>
  </si>
  <si>
    <t>QoQ %</t>
  </si>
  <si>
    <t>Ticket Sales / Sponsorships</t>
  </si>
  <si>
    <t>YouTube / Listings Streaming</t>
  </si>
  <si>
    <t>Listings / External Events</t>
  </si>
  <si>
    <t>GRAND TOTAL (YTD)</t>
  </si>
  <si>
    <t>REVENUE GENERATION (Revenue R)</t>
  </si>
  <si>
    <t>Beyond Capital Campaign</t>
  </si>
  <si>
    <t>Sales Campaign - Colocation</t>
  </si>
  <si>
    <t>Marketplace</t>
  </si>
  <si>
    <t>Claim It Campaign</t>
  </si>
  <si>
    <t>Date</t>
  </si>
  <si>
    <t>Daily Leads (count)</t>
  </si>
  <si>
    <t>Daily Revenue (R)</t>
  </si>
  <si>
    <t>Reference lists used by data validation. Do not rename or delete this sheet.</t>
  </si>
  <si>
    <t>Demand: Business Group</t>
  </si>
  <si>
    <t>Demand: Campaign/Stream</t>
  </si>
  <si>
    <t>Revenue: Business Group</t>
  </si>
  <si>
    <t>Revenue: Campaign/Stream</t>
  </si>
  <si>
    <t>Each business group reports under exactly one campaign/stream (same row above).</t>
  </si>
  <si>
    <t>Demand &amp; Revenue Insights Console</t>
  </si>
  <si>
    <t>Marketing &amp; Corporate Affairs</t>
  </si>
  <si>
    <t>Every team enters one row per day. Every total, percentage, chart and KPI tile on the two dashboards is calculated from those rows. Nobody edits a formula during normal use.</t>
  </si>
  <si>
    <t>Tab colours</t>
  </si>
  <si>
    <t>Green tabs are for typing. Blue tabs are for reading. Grey tabs are never edited.</t>
  </si>
  <si>
    <t>The sheets</t>
  </si>
  <si>
    <t>Sheet</t>
  </si>
  <si>
    <t>Colour</t>
  </si>
  <si>
    <t>What it is</t>
  </si>
  <si>
    <t>ReadMe</t>
  </si>
  <si>
    <t>grey</t>
  </si>
  <si>
    <t>This page</t>
  </si>
  <si>
    <t>MAIN DASHBOARD</t>
  </si>
  <si>
    <t>blue</t>
  </si>
  <si>
    <t>Month, quarter and year to date, with movement percentages</t>
  </si>
  <si>
    <t>Analysis Dashboard</t>
  </si>
  <si>
    <t>KPI tiles, trends and contribution</t>
  </si>
  <si>
    <t>Demand_Input</t>
  </si>
  <si>
    <t>green</t>
  </si>
  <si>
    <t>Daily leads</t>
  </si>
  <si>
    <t>Revenue_Input</t>
  </si>
  <si>
    <t>Daily revenue, in Rands</t>
  </si>
  <si>
    <t>Calculations</t>
  </si>
  <si>
    <t>Engine behind MAIN DASHBOARD</t>
  </si>
  <si>
    <t>Analysis_Calc</t>
  </si>
  <si>
    <t>Engine behind Analysis Dashboard</t>
  </si>
  <si>
    <t>Lists</t>
  </si>
  <si>
    <t>Approved values that drive the drop-downs</t>
  </si>
  <si>
    <t>Adding a row</t>
  </si>
  <si>
    <t>1.  Open Demand_Input for leads, or Revenue_Input for revenue.</t>
  </si>
  <si>
    <t>2.  Go to the first empty row at the bottom of the table and type the date in column A.</t>
  </si>
  <si>
    <t>3.  Choose the Business Group in column B from the drop-down. A value that is not on the list is rejected.</t>
  </si>
  <si>
    <t>4.  Choose the Campaign/Stream in column C. Each business group reports under exactly one stream.</t>
  </si>
  <si>
    <t>5.  Enter the day's figure in column D. Negative values are rejected.</t>
  </si>
  <si>
    <t>If a team reported nothing on a day, leave the row out. Missing days count as zero and break nothing.</t>
  </si>
  <si>
    <t>Rules that keep this working</t>
  </si>
  <si>
    <t>Do not rename sheets, the DemandTbl or RevenueTbl tables, or any column heading, because formulas reference them by name.</t>
  </si>
  <si>
    <t>Do not insert rows anywhere except the bottom of the input tables.</t>
  </si>
  <si>
    <t>Do not type into grey tabs. If a number looks wrong, the cause is in the input rows.</t>
  </si>
  <si>
    <t>Adding a business group or campaign is a structural change for the workbook owner only.</t>
  </si>
  <si>
    <t>If something looks wrong</t>
  </si>
  <si>
    <t>Symptom</t>
  </si>
  <si>
    <t>Cause</t>
  </si>
  <si>
    <t>Fix</t>
  </si>
  <si>
    <t>A group shows 0 for a period that has data</t>
  </si>
  <si>
    <t>The Business Group text does not exactly match the approved value</t>
  </si>
  <si>
    <t>Re-select it from the drop-down</t>
  </si>
  <si>
    <t>A percentage is blank</t>
  </si>
  <si>
    <t>The previous period had no data, so there is nothing to compare</t>
  </si>
  <si>
    <t>Intentional, nothing to fix</t>
  </si>
  <si>
    <t>An entry is rejected</t>
  </si>
  <si>
    <t>The value is not on the approved list, is negative, or is not a valid date</t>
  </si>
  <si>
    <t>Correct it. Approved values are on Lists</t>
  </si>
  <si>
    <t>Charts show months with no line</t>
  </si>
  <si>
    <t>Those months are in the future</t>
  </si>
  <si>
    <t>Numbers look stale</t>
  </si>
  <si>
    <t>The workbook has not recalculated</t>
  </si>
  <si>
    <t>Press F9, or close and reopen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</si>
</sst>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&quot;R &quot;#\ ##0"/>
    <numFmt numFmtId="166" formatCode="#\ ##0"/>
    <numFmt numFmtId="167" formatCode="\+0%;\-0%;0%"/>
    <numFmt numFmtId="168" formatCode="&quot;R&quot;\ #,##0"/>
    <numFmt numFmtId="169" formatCode="0.0%"/>
    <numFmt numFmtId="170" formatCode="&quot;R&quot;\ #,##0.00"/>
    <numFmt numFmtId="171" formatCode="[$R-1C09]#,##0.00"/>
  </numFmts>
  <fonts count="33" x14ac:knownFonts="1"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b/>
      <sz val="11"/>
      <color rgb="FF000000"/>
      <name val="Calibri"/>
      <charset val="1"/>
    </font>
    <font>
      <b/>
      <sz val="12"/>
      <color rgb="FF2F3C7E"/>
      <name val="Calibri"/>
      <charset val="1"/>
    </font>
    <font>
      <b/>
      <sz val="10"/>
      <color rgb="FF000000"/>
      <name val="Calibri"/>
      <charset val="1"/>
    </font>
    <font>
      <b/>
      <sz val="54"/>
      <color rgb="FF000000"/>
      <name val="Calibri"/>
      <charset val="1"/>
    </font>
    <font>
      <b/>
      <sz val="16"/>
      <color rgb="FF000000"/>
      <name val="Calibri"/>
      <charset val="1"/>
    </font>
    <font>
      <b/>
      <sz val="12"/>
      <color rgb="FFE8722C"/>
      <name val="Calibri"/>
      <charset val="1"/>
    </font>
    <font>
      <b/>
      <sz val="20"/>
      <color rgb="FF000000"/>
      <name val="Calibri"/>
      <charset val="1"/>
    </font>
    <font>
      <b/>
      <sz val="13"/>
      <color rgb="FF000000"/>
      <name val="Calibri"/>
      <charset val="1"/>
    </font>
    <font>
      <b/>
      <sz val="12"/>
      <color rgb="FF6BAF5E"/>
      <name val="Calibri"/>
      <charset val="1"/>
    </font>
    <font>
      <sz val="10"/>
      <color rgb="FF000000"/>
      <name val="Calibri"/>
      <charset val="1"/>
    </font>
    <font>
      <b/>
      <sz val="12"/>
      <color rgb="FF000000"/>
      <name val="Calibri"/>
      <charset val="1"/>
    </font>
    <font>
      <sz val="11"/>
      <color rgb="FF000000"/>
      <name val="Calibri"/>
      <charset val="1"/>
    </font>
    <font>
      <b/>
      <sz val="12"/>
      <color rgb="FFC13584"/>
      <name val="Calibri"/>
      <charset val="1"/>
    </font>
    <font>
      <i/>
      <sz val="11"/>
      <color rgb="FF898781"/>
      <name val="Calibri"/>
    </font>
    <font>
      <b/>
      <sz val="11"/>
      <color rgb="FFFFFFFF"/>
      <name val="Calibri"/>
    </font>
    <font>
      <b/>
      <sz val="10"/>
      <color rgb="FF52514E"/>
      <name val="Calibri"/>
    </font>
    <font>
      <b/>
      <sz val="18"/>
      <color rgb="FF0B0B0B"/>
      <name val="Calibri"/>
    </font>
    <font>
      <sz val="10"/>
      <color rgb="FF898781"/>
      <name val="Calibri"/>
    </font>
    <font>
      <b/>
      <sz val="8"/>
      <color rgb="FF898781"/>
      <name val="Calibri"/>
    </font>
    <font>
      <b/>
      <sz val="16"/>
      <color rgb="FF0B0B0B"/>
      <name val="Calibri"/>
    </font>
    <font>
      <b/>
      <sz val="13"/>
      <color rgb="FF0B0B0B"/>
      <name val="Calibri"/>
    </font>
    <font>
      <sz val="10"/>
      <color rgb="FF52514E"/>
      <name val="Calibri"/>
    </font>
    <font>
      <b/>
      <sz val="8"/>
      <color rgb="FF898781"/>
      <name val="Calibri"/>
    </font>
    <font>
      <b/>
      <sz val="13"/>
      <color rgb="FF0B0B0B"/>
      <name val="Calibri"/>
    </font>
    <font>
      <i/>
      <sz val="9"/>
      <color rgb="FF898781"/>
      <name val="Calibri"/>
    </font>
    <font>
      <i/>
      <sz val="8"/>
      <color rgb="FF898781"/>
      <name val="Calibri"/>
    </font>
    <font>
      <b/>
      <sz val="11"/>
      <color theme="1"/>
      <name val="Calibri"/>
      <family val="2"/>
    </font>
    <font>
      <b/>
      <sz val="20"/>
      <color rgb="FF1F3E79"/>
      <name val="Calibri"/>
      <family val="2"/>
    </font>
    <font>
      <sz val="11"/>
      <color rgb="FF6B6B6B"/>
      <name val="Calibri"/>
      <family val="2"/>
      <charset val="1"/>
    </font>
    <font>
      <b/>
      <sz val="12"/>
      <color rgb="FF1F3E79"/>
      <name val="Calibri"/>
      <family val="2"/>
    </font>
    <font>
      <i/>
      <sz val="11"/>
      <color rgb="FF6B6B6B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4A6785"/>
        <bgColor rgb="FF1F497D"/>
      </patternFill>
    </fill>
    <fill>
      <patternFill patternType="solid">
        <fgColor rgb="FFE8EEF4"/>
        <bgColor rgb="FFD4E8D4"/>
      </patternFill>
    </fill>
    <fill>
      <patternFill patternType="solid">
        <fgColor rgb="FFFAEBC8"/>
        <bgColor rgb="FFE8EEF4"/>
      </patternFill>
    </fill>
    <fill>
      <patternFill patternType="solid">
        <fgColor rgb="FFFFFFFF"/>
        <bgColor rgb="FFE8EEF4"/>
      </patternFill>
    </fill>
    <fill>
      <patternFill patternType="solid">
        <fgColor rgb="FFD4E8D4"/>
        <bgColor rgb="FFE8EEF4"/>
      </patternFill>
    </fill>
    <fill>
      <patternFill patternType="solid">
        <fgColor rgb="FF52514E"/>
      </patternFill>
    </fill>
    <fill>
      <patternFill patternType="solid">
        <fgColor rgb="FFF0EFEC"/>
      </patternFill>
    </fill>
    <fill>
      <patternFill patternType="solid">
        <fgColor rgb="FFF0EFEC"/>
      </patternFill>
    </fill>
    <fill>
      <patternFill patternType="solid">
        <fgColor rgb="FFDCE8F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theme="3"/>
      </bottom>
      <diagonal/>
    </border>
    <border>
      <left/>
      <right/>
      <top style="dotted">
        <color rgb="FFBBBBBB"/>
      </top>
      <bottom/>
      <diagonal/>
    </border>
    <border>
      <left/>
      <right/>
      <top style="medium">
        <color theme="3"/>
      </top>
      <bottom/>
      <diagonal/>
    </border>
    <border>
      <left/>
      <right/>
      <top style="medium">
        <color theme="3"/>
      </top>
      <bottom style="medium">
        <color theme="3"/>
      </bottom>
      <diagonal/>
    </border>
    <border>
      <left style="medium">
        <color rgb="FF9FB2C4"/>
      </left>
      <right/>
      <top style="medium">
        <color rgb="FF9FB2C4"/>
      </top>
      <bottom/>
      <diagonal/>
    </border>
    <border>
      <left/>
      <right/>
      <top style="medium">
        <color rgb="FF9FB2C4"/>
      </top>
      <bottom/>
      <diagonal/>
    </border>
    <border>
      <left/>
      <right style="medium">
        <color rgb="FF9FB2C4"/>
      </right>
      <top style="medium">
        <color rgb="FF9FB2C4"/>
      </top>
      <bottom/>
      <diagonal/>
    </border>
    <border>
      <left style="medium">
        <color rgb="FF9FB2C4"/>
      </left>
      <right/>
      <top/>
      <bottom/>
      <diagonal/>
    </border>
    <border>
      <left/>
      <right style="medium">
        <color rgb="FF9FB2C4"/>
      </right>
      <top/>
      <bottom/>
      <diagonal/>
    </border>
    <border>
      <left style="medium">
        <color rgb="FF9FB2C4"/>
      </left>
      <right/>
      <top/>
      <bottom style="medium">
        <color rgb="FF9FB2C4"/>
      </bottom>
      <diagonal/>
    </border>
    <border>
      <left/>
      <right/>
      <top/>
      <bottom style="medium">
        <color rgb="FF9FB2C4"/>
      </bottom>
      <diagonal/>
    </border>
    <border>
      <left/>
      <right style="medium">
        <color rgb="FF9FB2C4"/>
      </right>
      <top/>
      <bottom style="medium">
        <color rgb="FF9FB2C4"/>
      </bottom>
      <diagonal/>
    </border>
    <border>
      <left/>
      <right/>
      <top/>
      <bottom style="thin">
        <color rgb="FF2A78D6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3" borderId="0" xfId="0" applyFont="1" applyFill="1"/>
    <xf numFmtId="9" fontId="0" fillId="0" borderId="0" xfId="0" applyNumberFormat="1"/>
    <xf numFmtId="0" fontId="4" fillId="0" borderId="0" xfId="0" applyFont="1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11" fillId="3" borderId="0" xfId="0" applyFont="1" applyFill="1" applyAlignment="1">
      <alignment horizontal="left" vertical="center" wrapText="1"/>
    </xf>
    <xf numFmtId="166" fontId="12" fillId="3" borderId="0" xfId="0" applyNumberFormat="1" applyFont="1" applyFill="1" applyAlignment="1">
      <alignment horizontal="left" vertical="center" wrapText="1"/>
    </xf>
    <xf numFmtId="167" fontId="13" fillId="3" borderId="0" xfId="0" applyNumberFormat="1" applyFont="1" applyFill="1" applyAlignment="1">
      <alignment horizontal="right" vertical="center"/>
    </xf>
    <xf numFmtId="0" fontId="2" fillId="5" borderId="0" xfId="0" applyFont="1" applyFill="1" applyAlignment="1">
      <alignment horizontal="left" vertical="center" wrapText="1"/>
    </xf>
    <xf numFmtId="0" fontId="11" fillId="5" borderId="0" xfId="0" applyFont="1" applyFill="1" applyAlignment="1">
      <alignment horizontal="left" vertical="center" wrapText="1"/>
    </xf>
    <xf numFmtId="166" fontId="12" fillId="5" borderId="0" xfId="0" applyNumberFormat="1" applyFont="1" applyFill="1" applyAlignment="1">
      <alignment horizontal="left" vertical="center" wrapText="1"/>
    </xf>
    <xf numFmtId="167" fontId="13" fillId="5" borderId="0" xfId="0" applyNumberFormat="1" applyFont="1" applyFill="1" applyAlignment="1">
      <alignment horizontal="right" vertical="center"/>
    </xf>
    <xf numFmtId="0" fontId="2" fillId="5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166" fontId="12" fillId="5" borderId="1" xfId="0" applyNumberFormat="1" applyFont="1" applyFill="1" applyBorder="1" applyAlignment="1">
      <alignment horizontal="left" vertical="center" wrapText="1"/>
    </xf>
    <xf numFmtId="167" fontId="13" fillId="5" borderId="1" xfId="0" applyNumberFormat="1" applyFont="1" applyFill="1" applyBorder="1" applyAlignment="1">
      <alignment horizontal="right" vertical="center"/>
    </xf>
    <xf numFmtId="0" fontId="0" fillId="0" borderId="2" xfId="0" applyBorder="1"/>
    <xf numFmtId="0" fontId="2" fillId="3" borderId="3" xfId="0" applyFont="1" applyFill="1" applyBorder="1" applyAlignment="1">
      <alignment horizontal="left" vertical="center" wrapText="1"/>
    </xf>
    <xf numFmtId="0" fontId="11" fillId="3" borderId="3" xfId="0" applyFont="1" applyFill="1" applyBorder="1" applyAlignment="1">
      <alignment horizontal="left" vertical="center" wrapText="1"/>
    </xf>
    <xf numFmtId="165" fontId="12" fillId="3" borderId="3" xfId="0" applyNumberFormat="1" applyFont="1" applyFill="1" applyBorder="1" applyAlignment="1">
      <alignment horizontal="left" vertical="center" wrapText="1"/>
    </xf>
    <xf numFmtId="167" fontId="13" fillId="3" borderId="3" xfId="0" applyNumberFormat="1" applyFont="1" applyFill="1" applyBorder="1" applyAlignment="1">
      <alignment horizontal="right" vertical="center"/>
    </xf>
    <xf numFmtId="165" fontId="12" fillId="5" borderId="0" xfId="0" applyNumberFormat="1" applyFont="1" applyFill="1" applyAlignment="1">
      <alignment horizontal="left" vertical="center" wrapText="1"/>
    </xf>
    <xf numFmtId="165" fontId="12" fillId="3" borderId="0" xfId="0" applyNumberFormat="1" applyFont="1" applyFill="1" applyAlignment="1">
      <alignment horizontal="left" vertical="center" wrapText="1"/>
    </xf>
    <xf numFmtId="165" fontId="12" fillId="5" borderId="1" xfId="0" applyNumberFormat="1" applyFont="1" applyFill="1" applyBorder="1" applyAlignment="1">
      <alignment horizontal="left" vertical="center" wrapText="1"/>
    </xf>
    <xf numFmtId="0" fontId="14" fillId="0" borderId="0" xfId="0" applyFont="1" applyAlignment="1">
      <alignment horizontal="center" vertical="center" wrapText="1"/>
    </xf>
    <xf numFmtId="0" fontId="8" fillId="0" borderId="0" xfId="0" applyFon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5" fillId="0" borderId="0" xfId="0" applyFont="1"/>
    <xf numFmtId="0" fontId="16" fillId="7" borderId="0" xfId="0" applyFont="1" applyFill="1"/>
    <xf numFmtId="0" fontId="23" fillId="0" borderId="0" xfId="0" applyFont="1"/>
    <xf numFmtId="0" fontId="18" fillId="0" borderId="0" xfId="0" applyFont="1"/>
    <xf numFmtId="0" fontId="19" fillId="0" borderId="0" xfId="0" applyFont="1"/>
    <xf numFmtId="0" fontId="22" fillId="0" borderId="0" xfId="0" applyFont="1"/>
    <xf numFmtId="0" fontId="17" fillId="8" borderId="0" xfId="0" applyFont="1" applyFill="1"/>
    <xf numFmtId="3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0" fontId="27" fillId="0" borderId="0" xfId="0" applyFont="1"/>
    <xf numFmtId="0" fontId="25" fillId="0" borderId="0" xfId="0" applyFont="1"/>
    <xf numFmtId="0" fontId="26" fillId="0" borderId="0" xfId="0" applyFont="1"/>
    <xf numFmtId="171" fontId="0" fillId="0" borderId="0" xfId="0" applyNumberFormat="1"/>
    <xf numFmtId="0" fontId="8" fillId="0" borderId="1" xfId="0" applyFont="1" applyBorder="1" applyAlignment="1">
      <alignment horizontal="left" vertical="center" wrapText="1"/>
    </xf>
    <xf numFmtId="0" fontId="0" fillId="0" borderId="0" xfId="0"/>
    <xf numFmtId="0" fontId="0" fillId="0" borderId="1" xfId="0" applyBorder="1"/>
    <xf numFmtId="166" fontId="8" fillId="4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65" fontId="8" fillId="6" borderId="4" xfId="0" applyNumberFormat="1" applyFont="1" applyFill="1" applyBorder="1" applyAlignment="1">
      <alignment horizontal="center" vertical="center" wrapText="1"/>
    </xf>
    <xf numFmtId="0" fontId="20" fillId="8" borderId="0" xfId="0" applyFont="1" applyFill="1" applyAlignment="1">
      <alignment horizontal="center" vertical="center"/>
    </xf>
    <xf numFmtId="3" fontId="21" fillId="8" borderId="0" xfId="0" applyNumberFormat="1" applyFont="1" applyFill="1" applyAlignment="1">
      <alignment horizontal="center" vertical="center"/>
    </xf>
    <xf numFmtId="168" fontId="21" fillId="8" borderId="0" xfId="0" applyNumberFormat="1" applyFont="1" applyFill="1" applyAlignment="1">
      <alignment horizontal="center" vertical="center"/>
    </xf>
    <xf numFmtId="0" fontId="25" fillId="8" borderId="0" xfId="0" applyFont="1" applyFill="1" applyAlignment="1">
      <alignment horizontal="center" vertical="center"/>
    </xf>
    <xf numFmtId="0" fontId="25" fillId="9" borderId="0" xfId="0" applyFont="1" applyFill="1" applyAlignment="1">
      <alignment horizontal="center" vertical="center"/>
    </xf>
    <xf numFmtId="170" fontId="21" fillId="8" borderId="0" xfId="0" applyNumberFormat="1" applyFont="1" applyFill="1" applyAlignment="1">
      <alignment horizontal="center" vertical="center"/>
    </xf>
    <xf numFmtId="0" fontId="24" fillId="9" borderId="0" xfId="0" applyFont="1" applyFill="1" applyAlignment="1">
      <alignment horizontal="center" vertical="center"/>
    </xf>
    <xf numFmtId="0" fontId="29" fillId="0" borderId="0" xfId="0" applyFont="1"/>
    <xf numFmtId="0" fontId="30" fillId="0" borderId="0" xfId="0" applyFont="1"/>
    <xf numFmtId="0" fontId="0" fillId="0" borderId="0" xfId="0" applyAlignment="1">
      <alignment vertical="top" wrapText="1"/>
    </xf>
    <xf numFmtId="0" fontId="31" fillId="0" borderId="0" xfId="0" applyFont="1"/>
    <xf numFmtId="0" fontId="28" fillId="10" borderId="13" xfId="0" applyFont="1" applyFill="1" applyBorder="1"/>
    <xf numFmtId="0" fontId="3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8" fillId="10" borderId="13" xfId="0" applyFont="1" applyFill="1" applyBorder="1" applyAlignment="1">
      <alignment vertical="top" wrapText="1"/>
    </xf>
  </cellXfs>
  <cellStyles count="1">
    <cellStyle name="Normal" xfId="0" builtinId="0"/>
  </cellStyles>
  <dxfs count="13">
    <dxf>
      <font>
        <color rgb="FF888888"/>
        <name val="Calibri"/>
        <charset val="1"/>
      </font>
    </dxf>
    <dxf>
      <font>
        <color rgb="FFD04848"/>
        <name val="Calibri"/>
        <charset val="1"/>
      </font>
    </dxf>
    <dxf>
      <font>
        <color rgb="FF5FA85F"/>
        <name val="Calibri"/>
        <charset val="1"/>
      </font>
    </dxf>
    <dxf>
      <font>
        <color rgb="FF888888"/>
        <name val="Calibri"/>
        <charset val="1"/>
      </font>
    </dxf>
    <dxf>
      <font>
        <color rgb="FFD04848"/>
        <name val="Calibri"/>
        <charset val="1"/>
      </font>
    </dxf>
    <dxf>
      <font>
        <color rgb="FF5FA85F"/>
        <name val="Calibri"/>
        <charset val="1"/>
      </font>
    </dxf>
    <dxf>
      <font>
        <color rgb="FF888888"/>
        <name val="Calibri"/>
        <charset val="1"/>
      </font>
    </dxf>
    <dxf>
      <font>
        <color rgb="FFD04848"/>
        <name val="Calibri"/>
        <charset val="1"/>
      </font>
    </dxf>
    <dxf>
      <font>
        <color rgb="FF5FA85F"/>
        <name val="Calibri"/>
        <charset val="1"/>
      </font>
    </dxf>
    <dxf>
      <font>
        <color rgb="FF888888"/>
        <name val="Calibri"/>
        <charset val="1"/>
      </font>
    </dxf>
    <dxf>
      <font>
        <color rgb="FFD04848"/>
        <name val="Calibri"/>
        <charset val="1"/>
      </font>
    </dxf>
    <dxf>
      <font>
        <color rgb="FF5FA85F"/>
        <name val="Calibri"/>
        <charset val="1"/>
      </font>
    </dxf>
    <dxf>
      <numFmt numFmtId="171" formatCode="[$R-1C09]#,##0.0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88888"/>
      <rgbColor rgb="FF9999FF"/>
      <rgbColor rgb="FFC13584"/>
      <rgbColor rgb="FFFAEBC8"/>
      <rgbColor rgb="FFE8EE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8D4"/>
      <rgbColor rgb="FFFFFF99"/>
      <rgbColor rgb="FF99CCFF"/>
      <rgbColor rgb="FFFF99CC"/>
      <rgbColor rgb="FFCC99FF"/>
      <rgbColor rgb="FFFFCC99"/>
      <rgbColor rgb="FF3366FF"/>
      <rgbColor rgb="FF33CCCC"/>
      <rgbColor rgb="FF6BAF5E"/>
      <rgbColor rgb="FFFFCC00"/>
      <rgbColor rgb="FFFF9900"/>
      <rgbColor rgb="FFE8722C"/>
      <rgbColor rgb="FF4A6785"/>
      <rgbColor rgb="FF9FB2C4"/>
      <rgbColor rgb="FF1F497D"/>
      <rgbColor rgb="FF5FA85F"/>
      <rgbColor rgb="FF003300"/>
      <rgbColor rgb="FF333300"/>
      <rgbColor rgb="FF993300"/>
      <rgbColor rgb="FFD04848"/>
      <rgbColor rgb="FF2F3C7E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Monthly Leads by Business Group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Analysis_Calc!$C$3</c:f>
              <c:strCache>
                <c:ptCount val="1"/>
                <c:pt idx="0">
                  <c:v>JSE SheInvests</c:v>
                </c:pt>
              </c:strCache>
            </c:strRef>
          </c:tx>
          <c:spPr>
            <a:ln w="19050">
              <a:solidFill>
                <a:srgbClr val="2A78D6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2A78D6"/>
              </a:solidFill>
              <a:ln w="9525">
                <a:solidFill>
                  <a:srgbClr val="FFFFFF"/>
                </a:solidFill>
                <a:prstDash val="solid"/>
              </a:ln>
            </c:spPr>
          </c:marker>
          <c:cat>
            <c:strRef>
              <c:f>Analysis_Calc!$A$4:$A$15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Analysis_Calc!$C$4:$C$15</c:f>
              <c:numCache>
                <c:formatCode>#,##0</c:formatCode>
                <c:ptCount val="12"/>
                <c:pt idx="0">
                  <c:v>136</c:v>
                </c:pt>
                <c:pt idx="1">
                  <c:v>181</c:v>
                </c:pt>
                <c:pt idx="2">
                  <c:v>61</c:v>
                </c:pt>
                <c:pt idx="3">
                  <c:v>87</c:v>
                </c:pt>
                <c:pt idx="4">
                  <c:v>142</c:v>
                </c:pt>
                <c:pt idx="5">
                  <c:v>188</c:v>
                </c:pt>
                <c:pt idx="6">
                  <c:v>191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6C-4CB2-BB10-D505891E8374}"/>
            </c:ext>
          </c:extLst>
        </c:ser>
        <c:ser>
          <c:idx val="1"/>
          <c:order val="1"/>
          <c:tx>
            <c:strRef>
              <c:f>Analysis_Calc!$D$3</c:f>
              <c:strCache>
                <c:ptCount val="1"/>
                <c:pt idx="0">
                  <c:v>Digital Marketing</c:v>
                </c:pt>
              </c:strCache>
            </c:strRef>
          </c:tx>
          <c:spPr>
            <a:ln w="19050">
              <a:solidFill>
                <a:srgbClr val="0083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8300"/>
              </a:solidFill>
              <a:ln w="9525">
                <a:solidFill>
                  <a:srgbClr val="FFFFFF"/>
                </a:solidFill>
                <a:prstDash val="solid"/>
              </a:ln>
            </c:spPr>
          </c:marker>
          <c:cat>
            <c:strRef>
              <c:f>Analysis_Calc!$A$4:$A$15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Analysis_Calc!$D$4:$D$15</c:f>
              <c:numCache>
                <c:formatCode>#,##0</c:formatCode>
                <c:ptCount val="12"/>
                <c:pt idx="0">
                  <c:v>118</c:v>
                </c:pt>
                <c:pt idx="1">
                  <c:v>108</c:v>
                </c:pt>
                <c:pt idx="2">
                  <c:v>95</c:v>
                </c:pt>
                <c:pt idx="3">
                  <c:v>134</c:v>
                </c:pt>
                <c:pt idx="4">
                  <c:v>254</c:v>
                </c:pt>
                <c:pt idx="5">
                  <c:v>161</c:v>
                </c:pt>
                <c:pt idx="6">
                  <c:v>205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6C-4CB2-BB10-D505891E8374}"/>
            </c:ext>
          </c:extLst>
        </c:ser>
        <c:ser>
          <c:idx val="2"/>
          <c:order val="2"/>
          <c:tx>
            <c:strRef>
              <c:f>Analysis_Calc!$E$3</c:f>
              <c:strCache>
                <c:ptCount val="1"/>
                <c:pt idx="0">
                  <c:v>Events</c:v>
                </c:pt>
              </c:strCache>
            </c:strRef>
          </c:tx>
          <c:spPr>
            <a:ln w="19050">
              <a:solidFill>
                <a:srgbClr val="E87BA4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E87BA4"/>
              </a:solidFill>
              <a:ln w="9525">
                <a:solidFill>
                  <a:srgbClr val="FFFFFF"/>
                </a:solidFill>
                <a:prstDash val="solid"/>
              </a:ln>
            </c:spPr>
          </c:marker>
          <c:cat>
            <c:strRef>
              <c:f>Analysis_Calc!$A$4:$A$15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Analysis_Calc!$E$4:$E$15</c:f>
              <c:numCache>
                <c:formatCode>#,##0</c:formatCode>
                <c:ptCount val="12"/>
                <c:pt idx="0">
                  <c:v>112</c:v>
                </c:pt>
                <c:pt idx="1">
                  <c:v>196</c:v>
                </c:pt>
                <c:pt idx="2">
                  <c:v>121</c:v>
                </c:pt>
                <c:pt idx="3">
                  <c:v>130</c:v>
                </c:pt>
                <c:pt idx="4">
                  <c:v>194</c:v>
                </c:pt>
                <c:pt idx="5">
                  <c:v>189</c:v>
                </c:pt>
                <c:pt idx="6">
                  <c:v>170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6C-4CB2-BB10-D505891E8374}"/>
            </c:ext>
          </c:extLst>
        </c:ser>
        <c:ser>
          <c:idx val="3"/>
          <c:order val="3"/>
          <c:tx>
            <c:strRef>
              <c:f>Analysis_Calc!$F$3</c:f>
              <c:strCache>
                <c:ptCount val="1"/>
                <c:pt idx="0">
                  <c:v>Marketing Services</c:v>
                </c:pt>
              </c:strCache>
            </c:strRef>
          </c:tx>
          <c:spPr>
            <a:ln w="19050">
              <a:solidFill>
                <a:srgbClr val="EDA1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EDA100"/>
              </a:solidFill>
              <a:ln w="9525">
                <a:solidFill>
                  <a:srgbClr val="FFFFFF"/>
                </a:solidFill>
                <a:prstDash val="solid"/>
              </a:ln>
            </c:spPr>
          </c:marker>
          <c:cat>
            <c:strRef>
              <c:f>Analysis_Calc!$A$4:$A$15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Analysis_Calc!$F$4:$F$15</c:f>
              <c:numCache>
                <c:formatCode>#,##0</c:formatCode>
                <c:ptCount val="12"/>
                <c:pt idx="0">
                  <c:v>126</c:v>
                </c:pt>
                <c:pt idx="1">
                  <c:v>166</c:v>
                </c:pt>
                <c:pt idx="2">
                  <c:v>102</c:v>
                </c:pt>
                <c:pt idx="3">
                  <c:v>99</c:v>
                </c:pt>
                <c:pt idx="4">
                  <c:v>235</c:v>
                </c:pt>
                <c:pt idx="5">
                  <c:v>152</c:v>
                </c:pt>
                <c:pt idx="6">
                  <c:v>208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46C-4CB2-BB10-D505891E83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525">
            <a:solidFill>
              <a:srgbClr val="C3C2B7"/>
            </a:solidFill>
            <a:prstDash val="solid"/>
          </a:ln>
        </c:sp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E1E0D9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9525">
            <a:solidFill>
              <a:srgbClr val="C3C2B7"/>
            </a:solidFill>
            <a:prstDash val="solid"/>
          </a:ln>
        </c:spPr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Monthly Revenue by Business Group (R)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Analysis_Calc!$H$3</c:f>
              <c:strCache>
                <c:ptCount val="1"/>
                <c:pt idx="0">
                  <c:v>Primary Markets</c:v>
                </c:pt>
              </c:strCache>
            </c:strRef>
          </c:tx>
          <c:spPr>
            <a:ln w="19050">
              <a:solidFill>
                <a:srgbClr val="2A78D6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2A78D6"/>
              </a:solidFill>
              <a:ln w="9525">
                <a:solidFill>
                  <a:srgbClr val="FFFFFF"/>
                </a:solidFill>
                <a:prstDash val="solid"/>
              </a:ln>
            </c:spPr>
          </c:marker>
          <c:cat>
            <c:strRef>
              <c:f>Analysis_Calc!$A$4:$A$15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Analysis_Calc!$H$4:$H$15</c:f>
              <c:numCache>
                <c:formatCode>"R"\ #,##0</c:formatCode>
                <c:ptCount val="12"/>
                <c:pt idx="0">
                  <c:v>3449</c:v>
                </c:pt>
                <c:pt idx="1">
                  <c:v>5169</c:v>
                </c:pt>
                <c:pt idx="2">
                  <c:v>6642</c:v>
                </c:pt>
                <c:pt idx="3">
                  <c:v>5522</c:v>
                </c:pt>
                <c:pt idx="4">
                  <c:v>10215</c:v>
                </c:pt>
                <c:pt idx="5">
                  <c:v>5991</c:v>
                </c:pt>
                <c:pt idx="6">
                  <c:v>11572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CC-4CAD-9E30-721D047A9BBC}"/>
            </c:ext>
          </c:extLst>
        </c:ser>
        <c:ser>
          <c:idx val="1"/>
          <c:order val="1"/>
          <c:tx>
            <c:strRef>
              <c:f>Analysis_Calc!$I$3</c:f>
              <c:strCache>
                <c:ptCount val="1"/>
                <c:pt idx="0">
                  <c:v>Secondary Markets</c:v>
                </c:pt>
              </c:strCache>
            </c:strRef>
          </c:tx>
          <c:spPr>
            <a:ln w="19050">
              <a:solidFill>
                <a:srgbClr val="0083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8300"/>
              </a:solidFill>
              <a:ln w="9525">
                <a:solidFill>
                  <a:srgbClr val="FFFFFF"/>
                </a:solidFill>
                <a:prstDash val="solid"/>
              </a:ln>
            </c:spPr>
          </c:marker>
          <c:cat>
            <c:strRef>
              <c:f>Analysis_Calc!$A$4:$A$15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Analysis_Calc!$I$4:$I$15</c:f>
              <c:numCache>
                <c:formatCode>"R"\ #,##0</c:formatCode>
                <c:ptCount val="12"/>
                <c:pt idx="0">
                  <c:v>7384</c:v>
                </c:pt>
                <c:pt idx="1">
                  <c:v>6302</c:v>
                </c:pt>
                <c:pt idx="2">
                  <c:v>10027</c:v>
                </c:pt>
                <c:pt idx="3">
                  <c:v>8897</c:v>
                </c:pt>
                <c:pt idx="4">
                  <c:v>13958</c:v>
                </c:pt>
                <c:pt idx="5">
                  <c:v>11136</c:v>
                </c:pt>
                <c:pt idx="6">
                  <c:v>7600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CC-4CAD-9E30-721D047A9BBC}"/>
            </c:ext>
          </c:extLst>
        </c:ser>
        <c:ser>
          <c:idx val="2"/>
          <c:order val="2"/>
          <c:tx>
            <c:strRef>
              <c:f>Analysis_Calc!$J$3</c:f>
              <c:strCache>
                <c:ptCount val="1"/>
                <c:pt idx="0">
                  <c:v>Information Services</c:v>
                </c:pt>
              </c:strCache>
            </c:strRef>
          </c:tx>
          <c:spPr>
            <a:ln w="19050">
              <a:solidFill>
                <a:srgbClr val="E87BA4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E87BA4"/>
              </a:solidFill>
              <a:ln w="9525">
                <a:solidFill>
                  <a:srgbClr val="FFFFFF"/>
                </a:solidFill>
                <a:prstDash val="solid"/>
              </a:ln>
            </c:spPr>
          </c:marker>
          <c:cat>
            <c:strRef>
              <c:f>Analysis_Calc!$A$4:$A$15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Analysis_Calc!$J$4:$J$15</c:f>
              <c:numCache>
                <c:formatCode>"R"\ #,##0</c:formatCode>
                <c:ptCount val="12"/>
                <c:pt idx="0">
                  <c:v>7234</c:v>
                </c:pt>
                <c:pt idx="1">
                  <c:v>4175</c:v>
                </c:pt>
                <c:pt idx="2">
                  <c:v>6943</c:v>
                </c:pt>
                <c:pt idx="3">
                  <c:v>8408</c:v>
                </c:pt>
                <c:pt idx="4">
                  <c:v>18676</c:v>
                </c:pt>
                <c:pt idx="5">
                  <c:v>5261</c:v>
                </c:pt>
                <c:pt idx="6">
                  <c:v>8638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CC-4CAD-9E30-721D047A9BBC}"/>
            </c:ext>
          </c:extLst>
        </c:ser>
        <c:ser>
          <c:idx val="3"/>
          <c:order val="3"/>
          <c:tx>
            <c:strRef>
              <c:f>Analysis_Calc!$K$3</c:f>
              <c:strCache>
                <c:ptCount val="1"/>
                <c:pt idx="0">
                  <c:v>Issuer Services</c:v>
                </c:pt>
              </c:strCache>
            </c:strRef>
          </c:tx>
          <c:spPr>
            <a:ln w="19050">
              <a:solidFill>
                <a:srgbClr val="EDA1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EDA100"/>
              </a:solidFill>
              <a:ln w="9525">
                <a:solidFill>
                  <a:srgbClr val="FFFFFF"/>
                </a:solidFill>
                <a:prstDash val="solid"/>
              </a:ln>
            </c:spPr>
          </c:marker>
          <c:cat>
            <c:strRef>
              <c:f>Analysis_Calc!$A$4:$A$15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Analysis_Calc!$K$4:$K$15</c:f>
              <c:numCache>
                <c:formatCode>"R"\ #,##0</c:formatCode>
                <c:ptCount val="12"/>
                <c:pt idx="0">
                  <c:v>7546</c:v>
                </c:pt>
                <c:pt idx="1">
                  <c:v>6340</c:v>
                </c:pt>
                <c:pt idx="2">
                  <c:v>7239</c:v>
                </c:pt>
                <c:pt idx="3">
                  <c:v>4193</c:v>
                </c:pt>
                <c:pt idx="4">
                  <c:v>7049</c:v>
                </c:pt>
                <c:pt idx="5">
                  <c:v>5410</c:v>
                </c:pt>
                <c:pt idx="6">
                  <c:v>16219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6CC-4CAD-9E30-721D047A9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525">
            <a:solidFill>
              <a:srgbClr val="C3C2B7"/>
            </a:solidFill>
            <a:prstDash val="solid"/>
          </a:ln>
        </c:sp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E1E0D9"/>
              </a:solidFill>
              <a:prstDash val="solid"/>
            </a:ln>
          </c:spPr>
        </c:majorGridlines>
        <c:numFmt formatCode="&quot;R&quot;\ #,##0" sourceLinked="0"/>
        <c:majorTickMark val="out"/>
        <c:minorTickMark val="none"/>
        <c:tickLblPos val="nextTo"/>
        <c:spPr>
          <a:ln w="9525">
            <a:solidFill>
              <a:srgbClr val="C3C2B7"/>
            </a:solidFill>
            <a:prstDash val="solid"/>
          </a:ln>
        </c:spPr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YTD Leads by Business Group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Analysis_Calc!$B$25</c:f>
              <c:strCache>
                <c:ptCount val="1"/>
                <c:pt idx="0">
                  <c:v>YTD Leads</c:v>
                </c:pt>
              </c:strCache>
            </c:strRef>
          </c:tx>
          <c:spPr>
            <a:solidFill>
              <a:srgbClr val="2A78D6"/>
            </a:solidFill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C83-4622-ACCB-CC176F357AB8}"/>
              </c:ext>
            </c:extLst>
          </c:dPt>
          <c:dPt>
            <c:idx val="1"/>
            <c:invertIfNegative val="1"/>
            <c:bubble3D val="0"/>
            <c:spPr>
              <a:solidFill>
                <a:srgbClr val="0083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C83-4622-ACCB-CC176F357AB8}"/>
              </c:ext>
            </c:extLst>
          </c:dPt>
          <c:dPt>
            <c:idx val="2"/>
            <c:invertIfNegative val="1"/>
            <c:bubble3D val="0"/>
            <c:spPr>
              <a:solidFill>
                <a:srgbClr val="E87BA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C83-4622-ACCB-CC176F357AB8}"/>
              </c:ext>
            </c:extLst>
          </c:dPt>
          <c:dPt>
            <c:idx val="3"/>
            <c:invertIfNegative val="1"/>
            <c:bubble3D val="0"/>
            <c:spPr>
              <a:solidFill>
                <a:srgbClr val="EDA1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C83-4622-ACCB-CC176F357AB8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Analysis_Calc!$A$26:$A$29</c:f>
              <c:strCache>
                <c:ptCount val="4"/>
                <c:pt idx="0">
                  <c:v>JSE SheInvests</c:v>
                </c:pt>
                <c:pt idx="1">
                  <c:v>Digital Marketing</c:v>
                </c:pt>
                <c:pt idx="2">
                  <c:v>Events</c:v>
                </c:pt>
                <c:pt idx="3">
                  <c:v>Marketing Services</c:v>
                </c:pt>
              </c:strCache>
            </c:strRef>
          </c:cat>
          <c:val>
            <c:numRef>
              <c:f>Analysis_Calc!$B$26:$B$29</c:f>
              <c:numCache>
                <c:formatCode>#,##0</c:formatCode>
                <c:ptCount val="4"/>
                <c:pt idx="0">
                  <c:v>986</c:v>
                </c:pt>
                <c:pt idx="1">
                  <c:v>1075</c:v>
                </c:pt>
                <c:pt idx="2">
                  <c:v>1112</c:v>
                </c:pt>
                <c:pt idx="3">
                  <c:v>1088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0C83-4622-ACCB-CC176F357AB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9525">
            <a:solidFill>
              <a:srgbClr val="C3C2B7"/>
            </a:solidFill>
            <a:prstDash val="solid"/>
          </a:ln>
        </c:sp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b"/>
        <c:numFmt formatCode="#,##0" sourceLinked="0"/>
        <c:majorTickMark val="out"/>
        <c:minorTickMark val="none"/>
        <c:tickLblPos val="nextTo"/>
        <c:spPr>
          <a:ln w="9525">
            <a:solidFill>
              <a:srgbClr val="C3C2B7"/>
            </a:solidFill>
            <a:prstDash val="solid"/>
          </a:ln>
        </c:spPr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YTD Revenue by Business Group (R)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Analysis_Calc!$F$25</c:f>
              <c:strCache>
                <c:ptCount val="1"/>
                <c:pt idx="0">
                  <c:v>YTD Revenue (R)</c:v>
                </c:pt>
              </c:strCache>
            </c:strRef>
          </c:tx>
          <c:spPr>
            <a:solidFill>
              <a:srgbClr val="2A78D6"/>
            </a:solidFill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C3D-4FAA-A3A3-DD03FCC8E3AA}"/>
              </c:ext>
            </c:extLst>
          </c:dPt>
          <c:dPt>
            <c:idx val="1"/>
            <c:invertIfNegative val="1"/>
            <c:bubble3D val="0"/>
            <c:spPr>
              <a:solidFill>
                <a:srgbClr val="0083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C3D-4FAA-A3A3-DD03FCC8E3AA}"/>
              </c:ext>
            </c:extLst>
          </c:dPt>
          <c:dPt>
            <c:idx val="2"/>
            <c:invertIfNegative val="1"/>
            <c:bubble3D val="0"/>
            <c:spPr>
              <a:solidFill>
                <a:srgbClr val="E87BA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C3D-4FAA-A3A3-DD03FCC8E3AA}"/>
              </c:ext>
            </c:extLst>
          </c:dPt>
          <c:dPt>
            <c:idx val="3"/>
            <c:invertIfNegative val="1"/>
            <c:bubble3D val="0"/>
            <c:spPr>
              <a:solidFill>
                <a:srgbClr val="EDA1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C3D-4FAA-A3A3-DD03FCC8E3AA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Analysis_Calc!$E$26:$E$29</c:f>
              <c:strCache>
                <c:ptCount val="4"/>
                <c:pt idx="0">
                  <c:v>Primary Markets</c:v>
                </c:pt>
                <c:pt idx="1">
                  <c:v>Secondary Markets</c:v>
                </c:pt>
                <c:pt idx="2">
                  <c:v>Information Services</c:v>
                </c:pt>
                <c:pt idx="3">
                  <c:v>Issuer Services</c:v>
                </c:pt>
              </c:strCache>
            </c:strRef>
          </c:cat>
          <c:val>
            <c:numRef>
              <c:f>Analysis_Calc!$F$26:$F$29</c:f>
              <c:numCache>
                <c:formatCode>"R"\ #,##0</c:formatCode>
                <c:ptCount val="4"/>
                <c:pt idx="0">
                  <c:v>48560</c:v>
                </c:pt>
                <c:pt idx="1">
                  <c:v>65304</c:v>
                </c:pt>
                <c:pt idx="2">
                  <c:v>59335</c:v>
                </c:pt>
                <c:pt idx="3">
                  <c:v>53996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CC3D-4FAA-A3A3-DD03FCC8E3A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9525">
            <a:solidFill>
              <a:srgbClr val="C3C2B7"/>
            </a:solidFill>
            <a:prstDash val="solid"/>
          </a:ln>
        </c:sp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b"/>
        <c:numFmt formatCode="&quot;R&quot;\ #,##0" sourceLinked="0"/>
        <c:majorTickMark val="out"/>
        <c:minorTickMark val="none"/>
        <c:tickLblPos val="nextTo"/>
        <c:spPr>
          <a:ln w="9525">
            <a:solidFill>
              <a:srgbClr val="C3C2B7"/>
            </a:solidFill>
            <a:prstDash val="solid"/>
          </a:ln>
        </c:spPr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Cumulative Revenue, Year to Date (R)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Analysis_Calc!$M$3</c:f>
              <c:strCache>
                <c:ptCount val="1"/>
                <c:pt idx="0">
                  <c:v>Cumulative Revenue</c:v>
                </c:pt>
              </c:strCache>
            </c:strRef>
          </c:tx>
          <c:spPr>
            <a:ln w="19050">
              <a:solidFill>
                <a:srgbClr val="2A78D6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2A78D6"/>
              </a:solidFill>
              <a:ln w="9525">
                <a:solidFill>
                  <a:srgbClr val="FFFFFF"/>
                </a:solidFill>
                <a:prstDash val="solid"/>
              </a:ln>
            </c:spPr>
          </c:marker>
          <c:cat>
            <c:strRef>
              <c:f>Analysis_Calc!$A$4:$A$15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Analysis_Calc!$M$4:$M$15</c:f>
              <c:numCache>
                <c:formatCode>"R"\ #,##0</c:formatCode>
                <c:ptCount val="12"/>
                <c:pt idx="0">
                  <c:v>25613</c:v>
                </c:pt>
                <c:pt idx="1">
                  <c:v>47599</c:v>
                </c:pt>
                <c:pt idx="2">
                  <c:v>78450</c:v>
                </c:pt>
                <c:pt idx="3">
                  <c:v>105470</c:v>
                </c:pt>
                <c:pt idx="4">
                  <c:v>155368</c:v>
                </c:pt>
                <c:pt idx="5">
                  <c:v>183166</c:v>
                </c:pt>
                <c:pt idx="6">
                  <c:v>227195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1A-4A24-9275-35773BE049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525">
            <a:solidFill>
              <a:srgbClr val="C3C2B7"/>
            </a:solidFill>
            <a:prstDash val="solid"/>
          </a:ln>
        </c:sp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E1E0D9"/>
              </a:solidFill>
              <a:prstDash val="solid"/>
            </a:ln>
          </c:spPr>
        </c:majorGridlines>
        <c:numFmt formatCode="&quot;R&quot;\ #,##0" sourceLinked="0"/>
        <c:majorTickMark val="out"/>
        <c:minorTickMark val="none"/>
        <c:tickLblPos val="nextTo"/>
        <c:spPr>
          <a:ln w="9525">
            <a:solidFill>
              <a:srgbClr val="C3C2B7"/>
            </a:solidFill>
            <a:prstDash val="solid"/>
          </a:ln>
        </c:spPr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Revenue by Quarter (R)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Analysis_Calc!$D$18</c:f>
              <c:strCache>
                <c:ptCount val="1"/>
                <c:pt idx="0">
                  <c:v>Revenue (R)</c:v>
                </c:pt>
              </c:strCache>
            </c:strRef>
          </c:tx>
          <c:spPr>
            <a:solidFill>
              <a:srgbClr val="2A78D6"/>
            </a:solidFill>
            <a:ln>
              <a:prstDash val="solid"/>
            </a:ln>
          </c:spPr>
          <c:invertIfNegative val="1"/>
          <c:dLbls>
            <c:dLbl>
              <c:idx val="3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AED-4C16-9074-A2BBF571829B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Analysis_Calc!$A$19:$A$22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Analysis_Calc!$D$19:$D$22</c:f>
              <c:numCache>
                <c:formatCode>"R"\ #,##0</c:formatCode>
                <c:ptCount val="4"/>
                <c:pt idx="0">
                  <c:v>78450</c:v>
                </c:pt>
                <c:pt idx="1">
                  <c:v>104716</c:v>
                </c:pt>
                <c:pt idx="2">
                  <c:v>44029</c:v>
                </c:pt>
                <c:pt idx="3">
                  <c:v>#N/A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AED-4C16-9074-A2BBF571829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525">
            <a:solidFill>
              <a:srgbClr val="C3C2B7"/>
            </a:solidFill>
            <a:prstDash val="solid"/>
          </a:ln>
        </c:sp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E1E0D9"/>
              </a:solidFill>
              <a:prstDash val="solid"/>
            </a:ln>
          </c:spPr>
        </c:majorGridlines>
        <c:numFmt formatCode="&quot;R&quot;\ #,##0" sourceLinked="0"/>
        <c:majorTickMark val="out"/>
        <c:minorTickMark val="none"/>
        <c:tickLblPos val="nextTo"/>
        <c:spPr>
          <a:ln w="9525">
            <a:solidFill>
              <a:srgbClr val="C3C2B7"/>
            </a:solidFill>
            <a:prstDash val="solid"/>
          </a:ln>
        </c:spPr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</xdr:row>
      <xdr:rowOff>0</xdr:rowOff>
    </xdr:from>
    <xdr:ext cx="5472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0</xdr:colOff>
      <xdr:row>7</xdr:row>
      <xdr:rowOff>0</xdr:rowOff>
    </xdr:from>
    <xdr:ext cx="5472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27</xdr:row>
      <xdr:rowOff>0</xdr:rowOff>
    </xdr:from>
    <xdr:ext cx="5472000" cy="32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11</xdr:col>
      <xdr:colOff>0</xdr:colOff>
      <xdr:row>27</xdr:row>
      <xdr:rowOff>0</xdr:rowOff>
    </xdr:from>
    <xdr:ext cx="5472000" cy="324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</xdr:col>
      <xdr:colOff>0</xdr:colOff>
      <xdr:row>47</xdr:row>
      <xdr:rowOff>0</xdr:rowOff>
    </xdr:from>
    <xdr:ext cx="5472000" cy="324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11</xdr:col>
      <xdr:colOff>0</xdr:colOff>
      <xdr:row>47</xdr:row>
      <xdr:rowOff>0</xdr:rowOff>
    </xdr:from>
    <xdr:ext cx="5472000" cy="324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mandTbl" displayName="DemandTbl" ref="A1:D199" totalsRowShown="0">
  <autoFilter ref="A1:D199" xr:uid="{00000000-0009-0000-0100-000001000000}"/>
  <tableColumns count="4">
    <tableColumn id="1" xr3:uid="{00000000-0010-0000-0000-000001000000}" name="Date"/>
    <tableColumn id="2" xr3:uid="{00000000-0010-0000-0000-000002000000}" name="Business Group"/>
    <tableColumn id="3" xr3:uid="{00000000-0010-0000-0000-000003000000}" name="Campaign/Stream"/>
    <tableColumn id="4" xr3:uid="{00000000-0010-0000-0000-000004000000}" name="Daily Leads (count)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venueTbl" displayName="RevenueTbl" ref="A1:D185" totalsRowShown="0">
  <autoFilter ref="A1:D185" xr:uid="{00000000-0009-0000-0100-000002000000}"/>
  <tableColumns count="4">
    <tableColumn id="1" xr3:uid="{00000000-0010-0000-0100-000001000000}" name="Date"/>
    <tableColumn id="2" xr3:uid="{00000000-0010-0000-0100-000002000000}" name="Business Group"/>
    <tableColumn id="3" xr3:uid="{00000000-0010-0000-0100-000003000000}" name="Campaign/Stream"/>
    <tableColumn id="4" xr3:uid="{00000000-0010-0000-0100-000004000000}" name="Daily Revenue (R)" dataDxfId="1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80212-EDE8-48F9-A5BC-1FD92D832AD3}">
  <sheetPr>
    <tabColor rgb="FF898781"/>
  </sheetPr>
  <dimension ref="A1:C41"/>
  <sheetViews>
    <sheetView showGridLines="0" tabSelected="1" workbookViewId="0"/>
  </sheetViews>
  <sheetFormatPr defaultRowHeight="15" x14ac:dyDescent="0.25"/>
  <cols>
    <col min="1" max="1" width="30.7109375" customWidth="1"/>
    <col min="2" max="2" width="34.7109375" customWidth="1"/>
    <col min="3" max="3" width="56.7109375" customWidth="1"/>
  </cols>
  <sheetData>
    <row r="1" spans="1:3" ht="26.25" x14ac:dyDescent="0.4">
      <c r="A1" s="73" t="s">
        <v>94</v>
      </c>
    </row>
    <row r="2" spans="1:3" x14ac:dyDescent="0.25">
      <c r="A2" s="74" t="s">
        <v>95</v>
      </c>
    </row>
    <row r="4" spans="1:3" x14ac:dyDescent="0.25">
      <c r="A4" s="75" t="s">
        <v>96</v>
      </c>
      <c r="B4" s="75"/>
      <c r="C4" s="75"/>
    </row>
    <row r="5" spans="1:3" x14ac:dyDescent="0.25">
      <c r="A5" s="75"/>
      <c r="B5" s="75"/>
      <c r="C5" s="75"/>
    </row>
    <row r="7" spans="1:3" ht="15.75" x14ac:dyDescent="0.25">
      <c r="A7" s="76" t="s">
        <v>97</v>
      </c>
    </row>
    <row r="8" spans="1:3" x14ac:dyDescent="0.25">
      <c r="A8" s="75" t="s">
        <v>98</v>
      </c>
      <c r="B8" s="75"/>
      <c r="C8" s="75"/>
    </row>
    <row r="10" spans="1:3" ht="15.75" x14ac:dyDescent="0.25">
      <c r="A10" s="76" t="s">
        <v>99</v>
      </c>
    </row>
    <row r="11" spans="1:3" ht="15.95" customHeight="1" x14ac:dyDescent="0.25">
      <c r="A11" s="77" t="s">
        <v>100</v>
      </c>
      <c r="B11" s="77" t="s">
        <v>101</v>
      </c>
      <c r="C11" s="77" t="s">
        <v>102</v>
      </c>
    </row>
    <row r="12" spans="1:3" ht="15.95" customHeight="1" x14ac:dyDescent="0.25">
      <c r="A12" t="s">
        <v>103</v>
      </c>
      <c r="B12" t="s">
        <v>104</v>
      </c>
      <c r="C12" t="s">
        <v>105</v>
      </c>
    </row>
    <row r="13" spans="1:3" ht="15.95" customHeight="1" x14ac:dyDescent="0.25">
      <c r="A13" t="s">
        <v>106</v>
      </c>
      <c r="B13" t="s">
        <v>107</v>
      </c>
      <c r="C13" t="s">
        <v>108</v>
      </c>
    </row>
    <row r="14" spans="1:3" ht="15.95" customHeight="1" x14ac:dyDescent="0.25">
      <c r="A14" t="s">
        <v>109</v>
      </c>
      <c r="B14" t="s">
        <v>107</v>
      </c>
      <c r="C14" t="s">
        <v>110</v>
      </c>
    </row>
    <row r="15" spans="1:3" ht="15.95" customHeight="1" x14ac:dyDescent="0.25">
      <c r="A15" t="s">
        <v>111</v>
      </c>
      <c r="B15" t="s">
        <v>112</v>
      </c>
      <c r="C15" t="s">
        <v>113</v>
      </c>
    </row>
    <row r="16" spans="1:3" ht="15.95" customHeight="1" x14ac:dyDescent="0.25">
      <c r="A16" t="s">
        <v>114</v>
      </c>
      <c r="B16" t="s">
        <v>112</v>
      </c>
      <c r="C16" t="s">
        <v>115</v>
      </c>
    </row>
    <row r="17" spans="1:3" ht="15.95" customHeight="1" x14ac:dyDescent="0.25">
      <c r="A17" t="s">
        <v>116</v>
      </c>
      <c r="B17" t="s">
        <v>104</v>
      </c>
      <c r="C17" t="s">
        <v>117</v>
      </c>
    </row>
    <row r="18" spans="1:3" ht="15.95" customHeight="1" x14ac:dyDescent="0.25">
      <c r="A18" t="s">
        <v>118</v>
      </c>
      <c r="B18" t="s">
        <v>104</v>
      </c>
      <c r="C18" t="s">
        <v>119</v>
      </c>
    </row>
    <row r="19" spans="1:3" ht="15.95" customHeight="1" x14ac:dyDescent="0.25">
      <c r="A19" t="s">
        <v>120</v>
      </c>
      <c r="B19" t="s">
        <v>104</v>
      </c>
      <c r="C19" t="s">
        <v>121</v>
      </c>
    </row>
    <row r="21" spans="1:3" ht="15.75" x14ac:dyDescent="0.25">
      <c r="A21" s="76" t="s">
        <v>122</v>
      </c>
    </row>
    <row r="22" spans="1:3" x14ac:dyDescent="0.25">
      <c r="A22" s="75" t="s">
        <v>123</v>
      </c>
      <c r="B22" s="75"/>
      <c r="C22" s="75"/>
    </row>
    <row r="23" spans="1:3" x14ac:dyDescent="0.25">
      <c r="A23" s="75" t="s">
        <v>124</v>
      </c>
      <c r="B23" s="75"/>
      <c r="C23" s="75"/>
    </row>
    <row r="24" spans="1:3" x14ac:dyDescent="0.25">
      <c r="A24" s="75" t="s">
        <v>125</v>
      </c>
      <c r="B24" s="75"/>
      <c r="C24" s="75"/>
    </row>
    <row r="25" spans="1:3" x14ac:dyDescent="0.25">
      <c r="A25" s="75" t="s">
        <v>126</v>
      </c>
      <c r="B25" s="75"/>
      <c r="C25" s="75"/>
    </row>
    <row r="26" spans="1:3" x14ac:dyDescent="0.25">
      <c r="A26" s="75" t="s">
        <v>127</v>
      </c>
      <c r="B26" s="75"/>
      <c r="C26" s="75"/>
    </row>
    <row r="27" spans="1:3" x14ac:dyDescent="0.25">
      <c r="A27" s="78" t="s">
        <v>128</v>
      </c>
      <c r="B27" s="78"/>
      <c r="C27" s="78"/>
    </row>
    <row r="29" spans="1:3" ht="15.75" x14ac:dyDescent="0.25">
      <c r="A29" s="76" t="s">
        <v>129</v>
      </c>
    </row>
    <row r="30" spans="1:3" x14ac:dyDescent="0.25">
      <c r="A30" s="75" t="s">
        <v>130</v>
      </c>
      <c r="B30" s="75"/>
      <c r="C30" s="75"/>
    </row>
    <row r="31" spans="1:3" x14ac:dyDescent="0.25">
      <c r="A31" s="75" t="s">
        <v>131</v>
      </c>
      <c r="B31" s="75"/>
      <c r="C31" s="75"/>
    </row>
    <row r="32" spans="1:3" x14ac:dyDescent="0.25">
      <c r="A32" s="75" t="s">
        <v>132</v>
      </c>
      <c r="B32" s="75"/>
      <c r="C32" s="75"/>
    </row>
    <row r="33" spans="1:3" x14ac:dyDescent="0.25">
      <c r="A33" s="75" t="s">
        <v>133</v>
      </c>
      <c r="B33" s="75"/>
      <c r="C33" s="75"/>
    </row>
    <row r="35" spans="1:3" ht="15.75" x14ac:dyDescent="0.25">
      <c r="A35" s="76" t="s">
        <v>134</v>
      </c>
    </row>
    <row r="36" spans="1:3" x14ac:dyDescent="0.25">
      <c r="A36" s="80" t="s">
        <v>135</v>
      </c>
      <c r="B36" s="80" t="s">
        <v>136</v>
      </c>
      <c r="C36" s="80" t="s">
        <v>137</v>
      </c>
    </row>
    <row r="37" spans="1:3" ht="30" x14ac:dyDescent="0.25">
      <c r="A37" s="79" t="s">
        <v>138</v>
      </c>
      <c r="B37" s="79" t="s">
        <v>139</v>
      </c>
      <c r="C37" s="79" t="s">
        <v>140</v>
      </c>
    </row>
    <row r="38" spans="1:3" ht="30" x14ac:dyDescent="0.25">
      <c r="A38" s="79" t="s">
        <v>141</v>
      </c>
      <c r="B38" s="79" t="s">
        <v>142</v>
      </c>
      <c r="C38" s="79" t="s">
        <v>143</v>
      </c>
    </row>
    <row r="39" spans="1:3" ht="30" x14ac:dyDescent="0.25">
      <c r="A39" s="79" t="s">
        <v>144</v>
      </c>
      <c r="B39" s="79" t="s">
        <v>145</v>
      </c>
      <c r="C39" s="79" t="s">
        <v>146</v>
      </c>
    </row>
    <row r="40" spans="1:3" x14ac:dyDescent="0.25">
      <c r="A40" s="79" t="s">
        <v>147</v>
      </c>
      <c r="B40" s="79" t="s">
        <v>148</v>
      </c>
      <c r="C40" s="79" t="s">
        <v>143</v>
      </c>
    </row>
    <row r="41" spans="1:3" x14ac:dyDescent="0.25">
      <c r="A41" s="79" t="s">
        <v>149</v>
      </c>
      <c r="B41" s="79" t="s">
        <v>150</v>
      </c>
      <c r="C41" s="79" t="s">
        <v>151</v>
      </c>
    </row>
  </sheetData>
  <mergeCells count="12">
    <mergeCell ref="A26:C26"/>
    <mergeCell ref="A27:C27"/>
    <mergeCell ref="A30:C30"/>
    <mergeCell ref="A31:C31"/>
    <mergeCell ref="A32:C32"/>
    <mergeCell ref="A33:C33"/>
    <mergeCell ref="A4:C5"/>
    <mergeCell ref="A8:C8"/>
    <mergeCell ref="A22:C22"/>
    <mergeCell ref="A23:C23"/>
    <mergeCell ref="A24:C24"/>
    <mergeCell ref="A25:C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A78D6"/>
    <pageSetUpPr fitToPage="1"/>
  </sheetPr>
  <dimension ref="A1:L32"/>
  <sheetViews>
    <sheetView showGridLines="0" topLeftCell="A3" zoomScale="128" zoomScaleNormal="122" workbookViewId="0">
      <selection activeCell="K26" sqref="K26"/>
    </sheetView>
  </sheetViews>
  <sheetFormatPr defaultColWidth="8.7109375" defaultRowHeight="15" x14ac:dyDescent="0.25"/>
  <cols>
    <col min="1" max="1" width="6.85546875" customWidth="1"/>
    <col min="2" max="3" width="22.42578125" customWidth="1"/>
    <col min="4" max="4" width="2.5703125" customWidth="1"/>
    <col min="5" max="6" width="22.42578125" customWidth="1"/>
    <col min="7" max="7" width="2.28515625" customWidth="1"/>
    <col min="8" max="9" width="22.42578125" customWidth="1"/>
    <col min="10" max="10" width="2.140625" customWidth="1"/>
    <col min="11" max="12" width="22.42578125" customWidth="1"/>
    <col min="13" max="13" width="2" customWidth="1"/>
  </cols>
  <sheetData>
    <row r="1" spans="1:12" ht="31.5" customHeight="1" x14ac:dyDescent="0.25">
      <c r="A1" s="61" t="str">
        <f ca="1">TEXT(TODAY(),"mmmm")</f>
        <v>July</v>
      </c>
      <c r="B1" s="57"/>
      <c r="C1" s="57"/>
    </row>
    <row r="2" spans="1:12" ht="31.5" customHeight="1" x14ac:dyDescent="0.25">
      <c r="A2" s="57"/>
      <c r="B2" s="57"/>
      <c r="C2" s="57"/>
      <c r="E2" s="64" t="s">
        <v>0</v>
      </c>
      <c r="F2" s="57"/>
      <c r="H2" s="64" t="s">
        <v>1</v>
      </c>
      <c r="I2" s="57"/>
      <c r="K2" s="64" t="s">
        <v>2</v>
      </c>
      <c r="L2" s="57"/>
    </row>
    <row r="3" spans="1:12" ht="31.5" customHeight="1" x14ac:dyDescent="0.25">
      <c r="A3" s="57"/>
      <c r="B3" s="57"/>
      <c r="C3" s="57"/>
      <c r="E3" s="63" t="s">
        <v>3</v>
      </c>
      <c r="F3" s="57"/>
      <c r="H3" s="63" t="s">
        <v>3</v>
      </c>
      <c r="I3" s="57"/>
      <c r="K3" s="63" t="s">
        <v>3</v>
      </c>
      <c r="L3" s="57"/>
    </row>
    <row r="4" spans="1:12" ht="30.75" customHeight="1" x14ac:dyDescent="0.25"/>
    <row r="5" spans="1:12" ht="24" customHeight="1" x14ac:dyDescent="0.25">
      <c r="B5" s="56" t="s">
        <v>4</v>
      </c>
      <c r="C5" s="57"/>
    </row>
    <row r="6" spans="1:12" ht="24" customHeight="1" x14ac:dyDescent="0.25">
      <c r="B6" s="58"/>
      <c r="C6" s="58"/>
      <c r="E6" s="60" t="s">
        <v>5</v>
      </c>
      <c r="F6" s="58"/>
      <c r="H6" s="60" t="s">
        <v>5</v>
      </c>
      <c r="I6" s="58"/>
      <c r="K6" s="60" t="s">
        <v>5</v>
      </c>
      <c r="L6" s="58"/>
    </row>
    <row r="7" spans="1:12" ht="24" customHeight="1" x14ac:dyDescent="0.25">
      <c r="A7" s="62" t="s">
        <v>6</v>
      </c>
      <c r="B7" s="8" t="s">
        <v>7</v>
      </c>
      <c r="C7" s="8" t="s">
        <v>8</v>
      </c>
      <c r="E7" s="8" t="s">
        <v>9</v>
      </c>
      <c r="F7" s="9" t="s">
        <v>10</v>
      </c>
      <c r="H7" s="8" t="s">
        <v>11</v>
      </c>
      <c r="I7" s="9" t="s">
        <v>12</v>
      </c>
      <c r="K7" s="8" t="s">
        <v>13</v>
      </c>
      <c r="L7" s="10" t="s">
        <v>14</v>
      </c>
    </row>
    <row r="8" spans="1:12" ht="24" customHeight="1" x14ac:dyDescent="0.25">
      <c r="A8" s="57"/>
      <c r="B8" s="11" t="str">
        <f>Calculations!A14</f>
        <v>JSE SheInvests</v>
      </c>
      <c r="C8" s="12" t="str">
        <f>Calculations!B14</f>
        <v>Ticket Sales / Sponsorships</v>
      </c>
      <c r="E8" s="13">
        <f ca="1">Calculations!C14</f>
        <v>191</v>
      </c>
      <c r="F8" s="14">
        <f ca="1">Calculations!E14</f>
        <v>1.5957446808510637E-2</v>
      </c>
      <c r="H8" s="13">
        <f ca="1">Calculations!F14</f>
        <v>191</v>
      </c>
      <c r="I8" s="14">
        <f ca="1">Calculations!H14</f>
        <v>-0.54196642685851315</v>
      </c>
      <c r="K8" s="13">
        <f ca="1">Calculations!I14</f>
        <v>986</v>
      </c>
      <c r="L8" s="59">
        <f ca="1">Calculations!I18</f>
        <v>4261</v>
      </c>
    </row>
    <row r="9" spans="1:12" ht="24" customHeight="1" x14ac:dyDescent="0.25">
      <c r="B9" s="15" t="str">
        <f>Calculations!A15</f>
        <v>Digital Marketing</v>
      </c>
      <c r="C9" s="16" t="str">
        <f>Calculations!B15</f>
        <v>YouTube / Listings Streaming</v>
      </c>
      <c r="E9" s="17">
        <f ca="1">Calculations!C15</f>
        <v>205</v>
      </c>
      <c r="F9" s="18">
        <f ca="1">Calculations!E15</f>
        <v>0.27329192546583853</v>
      </c>
      <c r="H9" s="17">
        <f ca="1">Calculations!F15</f>
        <v>205</v>
      </c>
      <c r="I9" s="18">
        <f ca="1">Calculations!H15</f>
        <v>-0.62659380692167577</v>
      </c>
      <c r="K9" s="17">
        <f ca="1">Calculations!I15</f>
        <v>1075</v>
      </c>
      <c r="L9" s="57"/>
    </row>
    <row r="10" spans="1:12" ht="24" customHeight="1" x14ac:dyDescent="0.25">
      <c r="B10" s="11" t="str">
        <f>Calculations!A16</f>
        <v>Events</v>
      </c>
      <c r="C10" s="12" t="str">
        <f>Calculations!B16</f>
        <v>Listings / External Events</v>
      </c>
      <c r="E10" s="13">
        <f ca="1">Calculations!C16</f>
        <v>170</v>
      </c>
      <c r="F10" s="14">
        <f ca="1">Calculations!E16</f>
        <v>-0.10052910052910052</v>
      </c>
      <c r="H10" s="13">
        <f ca="1">Calculations!F16</f>
        <v>170</v>
      </c>
      <c r="I10" s="14">
        <f ca="1">Calculations!H16</f>
        <v>-0.66861598440545811</v>
      </c>
      <c r="K10" s="13">
        <f ca="1">Calculations!I16</f>
        <v>1112</v>
      </c>
      <c r="L10" s="57"/>
    </row>
    <row r="11" spans="1:12" ht="24" customHeight="1" x14ac:dyDescent="0.25">
      <c r="B11" s="19" t="str">
        <f>Calculations!A17</f>
        <v>Marketing Services</v>
      </c>
      <c r="C11" s="20" t="str">
        <f>Calculations!B17</f>
        <v>Secondary Markets</v>
      </c>
      <c r="E11" s="21">
        <f ca="1">Calculations!C17</f>
        <v>208</v>
      </c>
      <c r="F11" s="22">
        <f ca="1">Calculations!E17</f>
        <v>0.36842105263157893</v>
      </c>
      <c r="H11" s="21">
        <f ca="1">Calculations!F17</f>
        <v>208</v>
      </c>
      <c r="I11" s="22">
        <f ca="1">Calculations!H17</f>
        <v>-0.57201646090534974</v>
      </c>
      <c r="K11" s="21">
        <f ca="1">Calculations!I17</f>
        <v>1088</v>
      </c>
      <c r="L11" s="58"/>
    </row>
    <row r="12" spans="1:12" ht="24" customHeight="1" x14ac:dyDescent="0.25">
      <c r="A12" s="23"/>
      <c r="D12" s="23"/>
      <c r="G12" s="23"/>
      <c r="J12" s="23"/>
    </row>
    <row r="13" spans="1:12" ht="24" customHeight="1" x14ac:dyDescent="0.25">
      <c r="B13" s="56" t="s">
        <v>15</v>
      </c>
      <c r="C13" s="57"/>
    </row>
    <row r="14" spans="1:12" ht="24" customHeight="1" x14ac:dyDescent="0.25">
      <c r="B14" s="58"/>
      <c r="C14" s="58"/>
      <c r="E14" s="60" t="s">
        <v>16</v>
      </c>
      <c r="F14" s="58"/>
      <c r="H14" s="60" t="s">
        <v>16</v>
      </c>
      <c r="I14" s="58"/>
      <c r="K14" s="60" t="s">
        <v>16</v>
      </c>
      <c r="L14" s="58"/>
    </row>
    <row r="15" spans="1:12" ht="24" customHeight="1" x14ac:dyDescent="0.25">
      <c r="A15" s="62" t="s">
        <v>6</v>
      </c>
      <c r="B15" s="8" t="s">
        <v>7</v>
      </c>
      <c r="C15" s="8" t="s">
        <v>8</v>
      </c>
      <c r="E15" s="8" t="s">
        <v>9</v>
      </c>
      <c r="F15" s="9" t="s">
        <v>10</v>
      </c>
      <c r="H15" s="8" t="s">
        <v>11</v>
      </c>
      <c r="I15" s="9" t="s">
        <v>12</v>
      </c>
      <c r="K15" s="8" t="s">
        <v>13</v>
      </c>
      <c r="L15" s="10" t="s">
        <v>14</v>
      </c>
    </row>
    <row r="16" spans="1:12" ht="24" customHeight="1" x14ac:dyDescent="0.25">
      <c r="A16" s="57"/>
      <c r="B16" s="24" t="str">
        <f>Calculations!A23</f>
        <v>Primary Markets</v>
      </c>
      <c r="C16" s="25" t="str">
        <f>Calculations!B23</f>
        <v>Beyond Capital Campaign</v>
      </c>
      <c r="E16" s="26">
        <f ca="1">Calculations!C23</f>
        <v>11572</v>
      </c>
      <c r="F16" s="27">
        <f ca="1">Calculations!E23</f>
        <v>0.93156401268569522</v>
      </c>
      <c r="H16" s="26">
        <f ca="1">Calculations!F23</f>
        <v>11572</v>
      </c>
      <c r="I16" s="27">
        <f ca="1">Calculations!H23</f>
        <v>-0.46741531664212077</v>
      </c>
      <c r="K16" s="26">
        <f ca="1">Calculations!I23</f>
        <v>48560</v>
      </c>
      <c r="L16" s="65">
        <f ca="1">Calculations!I27</f>
        <v>227195</v>
      </c>
    </row>
    <row r="17" spans="1:12" ht="24" customHeight="1" x14ac:dyDescent="0.25">
      <c r="B17" s="15" t="str">
        <f>Calculations!A24</f>
        <v>Secondary Markets</v>
      </c>
      <c r="C17" s="16" t="str">
        <f>Calculations!B24</f>
        <v>Sales Campaign - Colocation</v>
      </c>
      <c r="E17" s="28">
        <f ca="1">Calculations!C24</f>
        <v>7600</v>
      </c>
      <c r="F17" s="18">
        <f ca="1">Calculations!E24</f>
        <v>-0.31752873563218392</v>
      </c>
      <c r="H17" s="28">
        <f ca="1">Calculations!F24</f>
        <v>7600</v>
      </c>
      <c r="I17" s="18">
        <f ca="1">Calculations!H24</f>
        <v>-0.77641140301844602</v>
      </c>
      <c r="K17" s="28">
        <f ca="1">Calculations!I24</f>
        <v>65304</v>
      </c>
      <c r="L17" s="57"/>
    </row>
    <row r="18" spans="1:12" ht="24" customHeight="1" x14ac:dyDescent="0.25">
      <c r="B18" s="11" t="str">
        <f>Calculations!A25</f>
        <v>Information Services</v>
      </c>
      <c r="C18" s="12" t="str">
        <f>Calculations!B25</f>
        <v>Marketplace</v>
      </c>
      <c r="E18" s="29">
        <f ca="1">Calculations!C25</f>
        <v>8638</v>
      </c>
      <c r="F18" s="14">
        <f ca="1">Calculations!E25</f>
        <v>0.64189317620224295</v>
      </c>
      <c r="H18" s="29">
        <f ca="1">Calculations!F25</f>
        <v>8638</v>
      </c>
      <c r="I18" s="14">
        <f ca="1">Calculations!H25</f>
        <v>-0.73294172205905084</v>
      </c>
      <c r="K18" s="29">
        <f ca="1">Calculations!I25</f>
        <v>59335</v>
      </c>
      <c r="L18" s="57"/>
    </row>
    <row r="19" spans="1:12" ht="24" customHeight="1" x14ac:dyDescent="0.25">
      <c r="B19" s="19" t="str">
        <f>Calculations!A26</f>
        <v>Issuer Services</v>
      </c>
      <c r="C19" s="20" t="str">
        <f>Calculations!B26</f>
        <v>Claim It Campaign</v>
      </c>
      <c r="E19" s="30">
        <f ca="1">Calculations!C26</f>
        <v>16219</v>
      </c>
      <c r="F19" s="22">
        <f ca="1">Calculations!E26</f>
        <v>1.9979667282809612</v>
      </c>
      <c r="H19" s="30">
        <f ca="1">Calculations!F26</f>
        <v>16219</v>
      </c>
      <c r="I19" s="22">
        <f ca="1">Calculations!H26</f>
        <v>-2.6002882536632237E-2</v>
      </c>
      <c r="K19" s="30">
        <f ca="1">Calculations!I26</f>
        <v>53996</v>
      </c>
      <c r="L19" s="58"/>
    </row>
    <row r="20" spans="1:12" ht="24" customHeight="1" x14ac:dyDescent="0.25">
      <c r="B20" s="52" t="s">
        <v>17</v>
      </c>
    </row>
    <row r="22" spans="1:12" ht="26.25" customHeight="1" x14ac:dyDescent="0.4">
      <c r="A22" s="31" t="s">
        <v>18</v>
      </c>
      <c r="B22" s="32" t="s">
        <v>19</v>
      </c>
      <c r="E22" s="33"/>
      <c r="F22" s="34"/>
      <c r="G22" s="34"/>
      <c r="H22" s="34"/>
      <c r="I22" s="35"/>
    </row>
    <row r="23" spans="1:12" x14ac:dyDescent="0.25">
      <c r="B23" s="43"/>
      <c r="E23" s="36"/>
      <c r="I23" s="37"/>
    </row>
    <row r="24" spans="1:12" x14ac:dyDescent="0.25">
      <c r="B24" s="43"/>
      <c r="E24" s="36"/>
      <c r="I24" s="37"/>
    </row>
    <row r="25" spans="1:12" x14ac:dyDescent="0.25">
      <c r="B25" s="43"/>
      <c r="E25" s="36"/>
      <c r="I25" s="37"/>
    </row>
    <row r="26" spans="1:12" x14ac:dyDescent="0.25">
      <c r="E26" s="38"/>
      <c r="F26" s="39"/>
      <c r="G26" s="39"/>
      <c r="H26" s="39"/>
      <c r="I26" s="40"/>
    </row>
    <row r="28" spans="1:12" ht="26.25" customHeight="1" x14ac:dyDescent="0.4">
      <c r="A28" s="31" t="s">
        <v>18</v>
      </c>
      <c r="B28" s="32" t="s">
        <v>20</v>
      </c>
      <c r="E28" s="33"/>
      <c r="F28" s="34"/>
      <c r="G28" s="34"/>
      <c r="H28" s="34"/>
      <c r="I28" s="35"/>
    </row>
    <row r="29" spans="1:12" x14ac:dyDescent="0.25">
      <c r="B29" s="43"/>
      <c r="E29" s="36"/>
      <c r="I29" s="37"/>
    </row>
    <row r="30" spans="1:12" x14ac:dyDescent="0.25">
      <c r="B30" s="43"/>
      <c r="E30" s="36"/>
      <c r="I30" s="37"/>
    </row>
    <row r="31" spans="1:12" x14ac:dyDescent="0.25">
      <c r="E31" s="36"/>
      <c r="I31" s="37"/>
    </row>
    <row r="32" spans="1:12" x14ac:dyDescent="0.25">
      <c r="E32" s="38"/>
      <c r="F32" s="39"/>
      <c r="G32" s="39"/>
      <c r="H32" s="39"/>
      <c r="I32" s="40"/>
    </row>
  </sheetData>
  <mergeCells count="19">
    <mergeCell ref="L16:L19"/>
    <mergeCell ref="E14:F14"/>
    <mergeCell ref="H6:I6"/>
    <mergeCell ref="B5:C6"/>
    <mergeCell ref="L8:L11"/>
    <mergeCell ref="E6:F6"/>
    <mergeCell ref="A1:C3"/>
    <mergeCell ref="A15:A16"/>
    <mergeCell ref="H14:I14"/>
    <mergeCell ref="K6:L6"/>
    <mergeCell ref="E3:F3"/>
    <mergeCell ref="K3:L3"/>
    <mergeCell ref="H2:I2"/>
    <mergeCell ref="E2:F2"/>
    <mergeCell ref="K2:L2"/>
    <mergeCell ref="K14:L14"/>
    <mergeCell ref="H3:I3"/>
    <mergeCell ref="B13:C14"/>
    <mergeCell ref="A7:A8"/>
  </mergeCells>
  <conditionalFormatting sqref="F8:F11">
    <cfRule type="cellIs" dxfId="11" priority="2" operator="greaterThan">
      <formula>0</formula>
    </cfRule>
    <cfRule type="cellIs" dxfId="10" priority="3" operator="lessThan">
      <formula>0</formula>
    </cfRule>
    <cfRule type="cellIs" dxfId="9" priority="4" operator="equal">
      <formula>0</formula>
    </cfRule>
  </conditionalFormatting>
  <conditionalFormatting sqref="F16:F19">
    <cfRule type="cellIs" dxfId="8" priority="8" operator="greaterThan">
      <formula>0</formula>
    </cfRule>
    <cfRule type="cellIs" dxfId="7" priority="9" operator="lessThan">
      <formula>0</formula>
    </cfRule>
    <cfRule type="cellIs" dxfId="6" priority="10" operator="equal">
      <formula>0</formula>
    </cfRule>
  </conditionalFormatting>
  <conditionalFormatting sqref="I8:I11">
    <cfRule type="cellIs" dxfId="5" priority="5" operator="greaterThan">
      <formula>0</formula>
    </cfRule>
    <cfRule type="cellIs" dxfId="4" priority="6" operator="lessThan">
      <formula>0</formula>
    </cfRule>
    <cfRule type="cellIs" dxfId="3" priority="7" operator="equal">
      <formula>0</formula>
    </cfRule>
  </conditionalFormatting>
  <conditionalFormatting sqref="I16:I19">
    <cfRule type="cellIs" dxfId="2" priority="11" operator="greaterThan">
      <formula>0</formula>
    </cfRule>
    <cfRule type="cellIs" dxfId="1" priority="12" operator="lessThan">
      <formula>0</formula>
    </cfRule>
    <cfRule type="cellIs" dxfId="0" priority="13" operator="equal">
      <formula>0</formula>
    </cfRule>
  </conditionalFormatting>
  <pageMargins left="0.25" right="0.25" top="0.25" bottom="0.2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A78D6"/>
  </sheetPr>
  <dimension ref="B1:P74"/>
  <sheetViews>
    <sheetView showGridLines="0" topLeftCell="A38" workbookViewId="0">
      <selection activeCell="J17" sqref="J17"/>
    </sheetView>
  </sheetViews>
  <sheetFormatPr defaultRowHeight="15" x14ac:dyDescent="0.25"/>
  <cols>
    <col min="1" max="1" width="2" customWidth="1"/>
    <col min="2" max="21" width="10" customWidth="1"/>
  </cols>
  <sheetData>
    <row r="1" spans="2:16" ht="23.25" customHeight="1" x14ac:dyDescent="0.35">
      <c r="B1" s="44" t="s">
        <v>21</v>
      </c>
    </row>
    <row r="2" spans="2:16" x14ac:dyDescent="0.25">
      <c r="B2" s="45" t="str">
        <f ca="1">"Marketing &amp; Corporate Affairs  |  Year to date, January – "&amp;TEXT(TODAY(),"mmmm yyyy")&amp;"  |  All figures recalculate automatically"</f>
        <v>Marketing &amp; Corporate Affairs  |  Year to date, January – July 2026  |  All figures recalculate automatically</v>
      </c>
    </row>
    <row r="4" spans="2:16" ht="18" customHeight="1" x14ac:dyDescent="0.25">
      <c r="B4" s="66" t="s">
        <v>22</v>
      </c>
      <c r="C4" s="57"/>
      <c r="E4" s="66" t="s">
        <v>23</v>
      </c>
      <c r="F4" s="57"/>
      <c r="H4" s="66" t="s">
        <v>24</v>
      </c>
      <c r="I4" s="57"/>
      <c r="K4" s="66" t="s">
        <v>25</v>
      </c>
      <c r="L4" s="57"/>
      <c r="N4" s="72" t="s">
        <v>26</v>
      </c>
      <c r="O4" s="57"/>
      <c r="P4" s="57"/>
    </row>
    <row r="5" spans="2:16" ht="30" customHeight="1" x14ac:dyDescent="0.25">
      <c r="B5" s="67">
        <f ca="1">Analysis_Calc!B33</f>
        <v>4261</v>
      </c>
      <c r="C5" s="57"/>
      <c r="E5" s="68">
        <f ca="1">Analysis_Calc!B34</f>
        <v>227195</v>
      </c>
      <c r="F5" s="57"/>
      <c r="H5" s="71">
        <f ca="1">Analysis_Calc!B35</f>
        <v>53.319643276226238</v>
      </c>
      <c r="I5" s="57"/>
      <c r="K5" s="69" t="str">
        <f ca="1">Analysis_Calc!B36</f>
        <v>May</v>
      </c>
      <c r="L5" s="57"/>
      <c r="N5" s="70" t="str">
        <f ca="1">Analysis_Calc!B37</f>
        <v>Secondary Markets</v>
      </c>
      <c r="O5" s="57"/>
      <c r="P5" s="57"/>
    </row>
    <row r="62" spans="2:2" ht="17.25" customHeight="1" x14ac:dyDescent="0.3">
      <c r="B62" s="46"/>
    </row>
    <row r="63" spans="2:2" x14ac:dyDescent="0.25">
      <c r="B63" s="43"/>
    </row>
    <row r="64" spans="2:2" x14ac:dyDescent="0.25">
      <c r="B64" s="43"/>
    </row>
    <row r="65" spans="2:6" x14ac:dyDescent="0.25">
      <c r="B65" s="43"/>
    </row>
    <row r="66" spans="2:6" x14ac:dyDescent="0.25">
      <c r="B66" s="43"/>
    </row>
    <row r="68" spans="2:6" ht="17.25" customHeight="1" thickBot="1" x14ac:dyDescent="0.35">
      <c r="B68" s="53" t="s">
        <v>27</v>
      </c>
    </row>
    <row r="69" spans="2:6" x14ac:dyDescent="0.25">
      <c r="B69" s="33"/>
      <c r="C69" s="34"/>
      <c r="D69" s="34"/>
      <c r="E69" s="34"/>
      <c r="F69" s="35"/>
    </row>
    <row r="70" spans="2:6" x14ac:dyDescent="0.25">
      <c r="B70" s="36"/>
      <c r="F70" s="37"/>
    </row>
    <row r="71" spans="2:6" x14ac:dyDescent="0.25">
      <c r="B71" s="36"/>
      <c r="F71" s="37"/>
    </row>
    <row r="72" spans="2:6" x14ac:dyDescent="0.25">
      <c r="B72" s="36"/>
      <c r="F72" s="37"/>
    </row>
    <row r="73" spans="2:6" ht="15.75" thickBot="1" x14ac:dyDescent="0.3">
      <c r="B73" s="38"/>
      <c r="C73" s="39"/>
      <c r="D73" s="39"/>
      <c r="E73" s="39"/>
      <c r="F73" s="40"/>
    </row>
    <row r="74" spans="2:6" x14ac:dyDescent="0.25">
      <c r="B74" s="54" t="s">
        <v>28</v>
      </c>
    </row>
  </sheetData>
  <mergeCells count="10">
    <mergeCell ref="E4:F4"/>
    <mergeCell ref="B5:C5"/>
    <mergeCell ref="E5:F5"/>
    <mergeCell ref="K5:L5"/>
    <mergeCell ref="N5:P5"/>
    <mergeCell ref="H5:I5"/>
    <mergeCell ref="H4:I4"/>
    <mergeCell ref="N4:P4"/>
    <mergeCell ref="K4:L4"/>
    <mergeCell ref="B4:C4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8300"/>
  </sheetPr>
  <dimension ref="A1:D199"/>
  <sheetViews>
    <sheetView zoomScaleNormal="100" workbookViewId="0">
      <selection activeCell="F34" sqref="F34"/>
    </sheetView>
  </sheetViews>
  <sheetFormatPr defaultColWidth="8.7109375" defaultRowHeight="15" x14ac:dyDescent="0.25"/>
  <cols>
    <col min="1" max="1" width="13" customWidth="1"/>
    <col min="2" max="2" width="20" customWidth="1"/>
    <col min="3" max="3" width="30" customWidth="1"/>
    <col min="4" max="4" width="18" customWidth="1"/>
  </cols>
  <sheetData>
    <row r="1" spans="1:4" x14ac:dyDescent="0.25">
      <c r="A1" s="1" t="s">
        <v>85</v>
      </c>
      <c r="B1" s="1" t="s">
        <v>7</v>
      </c>
      <c r="C1" s="1" t="s">
        <v>8</v>
      </c>
      <c r="D1" s="1" t="s">
        <v>86</v>
      </c>
    </row>
    <row r="2" spans="1:4" x14ac:dyDescent="0.25">
      <c r="A2" s="2">
        <v>46023</v>
      </c>
      <c r="B2" t="s">
        <v>32</v>
      </c>
      <c r="C2" t="s">
        <v>76</v>
      </c>
      <c r="D2">
        <v>36</v>
      </c>
    </row>
    <row r="3" spans="1:4" x14ac:dyDescent="0.25">
      <c r="A3" s="2">
        <v>46023</v>
      </c>
      <c r="B3" t="s">
        <v>35</v>
      </c>
      <c r="C3" t="s">
        <v>38</v>
      </c>
      <c r="D3">
        <v>38</v>
      </c>
    </row>
    <row r="4" spans="1:4" x14ac:dyDescent="0.25">
      <c r="A4" s="2">
        <v>46026</v>
      </c>
      <c r="B4" t="s">
        <v>32</v>
      </c>
      <c r="C4" t="s">
        <v>76</v>
      </c>
      <c r="D4">
        <v>33</v>
      </c>
    </row>
    <row r="5" spans="1:4" x14ac:dyDescent="0.25">
      <c r="A5" s="2">
        <v>46026</v>
      </c>
      <c r="B5" t="s">
        <v>33</v>
      </c>
      <c r="C5" t="s">
        <v>77</v>
      </c>
      <c r="D5">
        <v>40</v>
      </c>
    </row>
    <row r="6" spans="1:4" x14ac:dyDescent="0.25">
      <c r="A6" s="2">
        <v>46026</v>
      </c>
      <c r="B6" t="s">
        <v>35</v>
      </c>
      <c r="C6" t="s">
        <v>38</v>
      </c>
      <c r="D6">
        <v>20</v>
      </c>
    </row>
    <row r="7" spans="1:4" x14ac:dyDescent="0.25">
      <c r="A7" s="2">
        <v>46029</v>
      </c>
      <c r="B7" t="s">
        <v>32</v>
      </c>
      <c r="C7" t="s">
        <v>76</v>
      </c>
      <c r="D7">
        <v>35</v>
      </c>
    </row>
    <row r="8" spans="1:4" x14ac:dyDescent="0.25">
      <c r="A8" s="2">
        <v>46029</v>
      </c>
      <c r="B8" t="s">
        <v>35</v>
      </c>
      <c r="C8" t="s">
        <v>38</v>
      </c>
      <c r="D8">
        <v>26</v>
      </c>
    </row>
    <row r="9" spans="1:4" x14ac:dyDescent="0.25">
      <c r="A9" s="2">
        <v>46032</v>
      </c>
      <c r="B9" t="s">
        <v>35</v>
      </c>
      <c r="C9" t="s">
        <v>38</v>
      </c>
      <c r="D9">
        <v>1</v>
      </c>
    </row>
    <row r="10" spans="1:4" x14ac:dyDescent="0.25">
      <c r="A10" s="2">
        <v>46035</v>
      </c>
      <c r="B10" t="s">
        <v>33</v>
      </c>
      <c r="C10" t="s">
        <v>77</v>
      </c>
      <c r="D10">
        <v>3</v>
      </c>
    </row>
    <row r="11" spans="1:4" x14ac:dyDescent="0.25">
      <c r="A11" s="2">
        <v>46035</v>
      </c>
      <c r="B11" t="s">
        <v>34</v>
      </c>
      <c r="C11" t="s">
        <v>78</v>
      </c>
      <c r="D11">
        <v>16</v>
      </c>
    </row>
    <row r="12" spans="1:4" x14ac:dyDescent="0.25">
      <c r="A12" s="2">
        <v>46038</v>
      </c>
      <c r="B12" t="s">
        <v>33</v>
      </c>
      <c r="C12" t="s">
        <v>77</v>
      </c>
      <c r="D12">
        <v>38</v>
      </c>
    </row>
    <row r="13" spans="1:4" x14ac:dyDescent="0.25">
      <c r="A13" s="2">
        <v>46038</v>
      </c>
      <c r="B13" t="s">
        <v>35</v>
      </c>
      <c r="C13" t="s">
        <v>38</v>
      </c>
      <c r="D13">
        <v>19</v>
      </c>
    </row>
    <row r="14" spans="1:4" x14ac:dyDescent="0.25">
      <c r="A14" s="2">
        <v>46041</v>
      </c>
      <c r="B14" t="s">
        <v>32</v>
      </c>
      <c r="C14" t="s">
        <v>76</v>
      </c>
      <c r="D14">
        <v>6</v>
      </c>
    </row>
    <row r="15" spans="1:4" x14ac:dyDescent="0.25">
      <c r="A15" s="2">
        <v>46041</v>
      </c>
      <c r="B15" t="s">
        <v>33</v>
      </c>
      <c r="C15" t="s">
        <v>77</v>
      </c>
      <c r="D15">
        <v>18</v>
      </c>
    </row>
    <row r="16" spans="1:4" x14ac:dyDescent="0.25">
      <c r="A16" s="2">
        <v>46041</v>
      </c>
      <c r="B16" t="s">
        <v>34</v>
      </c>
      <c r="C16" t="s">
        <v>78</v>
      </c>
      <c r="D16">
        <v>36</v>
      </c>
    </row>
    <row r="17" spans="1:4" x14ac:dyDescent="0.25">
      <c r="A17" s="2">
        <v>46044</v>
      </c>
      <c r="B17" t="s">
        <v>34</v>
      </c>
      <c r="C17" t="s">
        <v>78</v>
      </c>
      <c r="D17">
        <v>15</v>
      </c>
    </row>
    <row r="18" spans="1:4" x14ac:dyDescent="0.25">
      <c r="A18" s="2">
        <v>46044</v>
      </c>
      <c r="B18" t="s">
        <v>35</v>
      </c>
      <c r="C18" t="s">
        <v>38</v>
      </c>
      <c r="D18">
        <v>2</v>
      </c>
    </row>
    <row r="19" spans="1:4" x14ac:dyDescent="0.25">
      <c r="A19" s="2">
        <v>46047</v>
      </c>
      <c r="B19" t="s">
        <v>32</v>
      </c>
      <c r="C19" t="s">
        <v>76</v>
      </c>
      <c r="D19">
        <v>7</v>
      </c>
    </row>
    <row r="20" spans="1:4" x14ac:dyDescent="0.25">
      <c r="A20" s="2">
        <v>46047</v>
      </c>
      <c r="B20" t="s">
        <v>33</v>
      </c>
      <c r="C20" t="s">
        <v>77</v>
      </c>
      <c r="D20">
        <v>19</v>
      </c>
    </row>
    <row r="21" spans="1:4" x14ac:dyDescent="0.25">
      <c r="A21" s="2">
        <v>46047</v>
      </c>
      <c r="B21" t="s">
        <v>34</v>
      </c>
      <c r="C21" t="s">
        <v>78</v>
      </c>
      <c r="D21">
        <v>2</v>
      </c>
    </row>
    <row r="22" spans="1:4" x14ac:dyDescent="0.25">
      <c r="A22" s="2">
        <v>46050</v>
      </c>
      <c r="B22" t="s">
        <v>32</v>
      </c>
      <c r="C22" t="s">
        <v>76</v>
      </c>
      <c r="D22">
        <v>14</v>
      </c>
    </row>
    <row r="23" spans="1:4" x14ac:dyDescent="0.25">
      <c r="A23" s="2">
        <v>46050</v>
      </c>
      <c r="B23" t="s">
        <v>34</v>
      </c>
      <c r="C23" t="s">
        <v>78</v>
      </c>
      <c r="D23">
        <v>25</v>
      </c>
    </row>
    <row r="24" spans="1:4" x14ac:dyDescent="0.25">
      <c r="A24" s="2">
        <v>46053</v>
      </c>
      <c r="B24" t="s">
        <v>32</v>
      </c>
      <c r="C24" t="s">
        <v>76</v>
      </c>
      <c r="D24">
        <v>5</v>
      </c>
    </row>
    <row r="25" spans="1:4" x14ac:dyDescent="0.25">
      <c r="A25" s="2">
        <v>46053</v>
      </c>
      <c r="B25" t="s">
        <v>34</v>
      </c>
      <c r="C25" t="s">
        <v>78</v>
      </c>
      <c r="D25">
        <v>18</v>
      </c>
    </row>
    <row r="26" spans="1:4" x14ac:dyDescent="0.25">
      <c r="A26" s="2">
        <v>46053</v>
      </c>
      <c r="B26" t="s">
        <v>35</v>
      </c>
      <c r="C26" t="s">
        <v>38</v>
      </c>
      <c r="D26">
        <v>20</v>
      </c>
    </row>
    <row r="27" spans="1:4" x14ac:dyDescent="0.25">
      <c r="A27" s="2">
        <v>46056</v>
      </c>
      <c r="B27" t="s">
        <v>32</v>
      </c>
      <c r="C27" t="s">
        <v>76</v>
      </c>
      <c r="D27">
        <v>27</v>
      </c>
    </row>
    <row r="28" spans="1:4" x14ac:dyDescent="0.25">
      <c r="A28" s="2">
        <v>46056</v>
      </c>
      <c r="B28" t="s">
        <v>34</v>
      </c>
      <c r="C28" t="s">
        <v>78</v>
      </c>
      <c r="D28">
        <v>16</v>
      </c>
    </row>
    <row r="29" spans="1:4" x14ac:dyDescent="0.25">
      <c r="A29" s="2">
        <v>46059</v>
      </c>
      <c r="B29" t="s">
        <v>32</v>
      </c>
      <c r="C29" t="s">
        <v>76</v>
      </c>
      <c r="D29">
        <v>30</v>
      </c>
    </row>
    <row r="30" spans="1:4" x14ac:dyDescent="0.25">
      <c r="A30" s="2">
        <v>46059</v>
      </c>
      <c r="B30" t="s">
        <v>34</v>
      </c>
      <c r="C30" t="s">
        <v>78</v>
      </c>
      <c r="D30">
        <v>36</v>
      </c>
    </row>
    <row r="31" spans="1:4" x14ac:dyDescent="0.25">
      <c r="A31" s="2">
        <v>46059</v>
      </c>
      <c r="B31" t="s">
        <v>35</v>
      </c>
      <c r="C31" t="s">
        <v>38</v>
      </c>
      <c r="D31">
        <v>33</v>
      </c>
    </row>
    <row r="32" spans="1:4" x14ac:dyDescent="0.25">
      <c r="A32" s="2">
        <v>46062</v>
      </c>
      <c r="B32" t="s">
        <v>32</v>
      </c>
      <c r="C32" t="s">
        <v>76</v>
      </c>
      <c r="D32">
        <v>9</v>
      </c>
    </row>
    <row r="33" spans="1:4" x14ac:dyDescent="0.25">
      <c r="A33" s="2">
        <v>46062</v>
      </c>
      <c r="B33" t="s">
        <v>33</v>
      </c>
      <c r="C33" t="s">
        <v>77</v>
      </c>
      <c r="D33">
        <v>25</v>
      </c>
    </row>
    <row r="34" spans="1:4" x14ac:dyDescent="0.25">
      <c r="A34" s="2">
        <v>46062</v>
      </c>
      <c r="B34" t="s">
        <v>34</v>
      </c>
      <c r="C34" t="s">
        <v>78</v>
      </c>
      <c r="D34">
        <v>27</v>
      </c>
    </row>
    <row r="35" spans="1:4" x14ac:dyDescent="0.25">
      <c r="A35" s="2">
        <v>46065</v>
      </c>
      <c r="B35" t="s">
        <v>32</v>
      </c>
      <c r="C35" t="s">
        <v>76</v>
      </c>
      <c r="D35">
        <v>38</v>
      </c>
    </row>
    <row r="36" spans="1:4" x14ac:dyDescent="0.25">
      <c r="A36" s="2">
        <v>46065</v>
      </c>
      <c r="B36" t="s">
        <v>33</v>
      </c>
      <c r="C36" t="s">
        <v>77</v>
      </c>
      <c r="D36">
        <v>2</v>
      </c>
    </row>
    <row r="37" spans="1:4" x14ac:dyDescent="0.25">
      <c r="A37" s="2">
        <v>46065</v>
      </c>
      <c r="B37" t="s">
        <v>34</v>
      </c>
      <c r="C37" t="s">
        <v>78</v>
      </c>
      <c r="D37">
        <v>26</v>
      </c>
    </row>
    <row r="38" spans="1:4" x14ac:dyDescent="0.25">
      <c r="A38" s="2">
        <v>46068</v>
      </c>
      <c r="B38" t="s">
        <v>34</v>
      </c>
      <c r="C38" t="s">
        <v>78</v>
      </c>
      <c r="D38">
        <v>10</v>
      </c>
    </row>
    <row r="39" spans="1:4" x14ac:dyDescent="0.25">
      <c r="A39" s="2">
        <v>46068</v>
      </c>
      <c r="B39" t="s">
        <v>35</v>
      </c>
      <c r="C39" t="s">
        <v>38</v>
      </c>
      <c r="D39">
        <v>17</v>
      </c>
    </row>
    <row r="40" spans="1:4" x14ac:dyDescent="0.25">
      <c r="A40" s="2">
        <v>46071</v>
      </c>
      <c r="B40" t="s">
        <v>32</v>
      </c>
      <c r="C40" t="s">
        <v>76</v>
      </c>
      <c r="D40">
        <v>40</v>
      </c>
    </row>
    <row r="41" spans="1:4" x14ac:dyDescent="0.25">
      <c r="A41" s="2">
        <v>46071</v>
      </c>
      <c r="B41" t="s">
        <v>33</v>
      </c>
      <c r="C41" t="s">
        <v>77</v>
      </c>
      <c r="D41">
        <v>19</v>
      </c>
    </row>
    <row r="42" spans="1:4" x14ac:dyDescent="0.25">
      <c r="A42" s="2">
        <v>46071</v>
      </c>
      <c r="B42" t="s">
        <v>34</v>
      </c>
      <c r="C42" t="s">
        <v>78</v>
      </c>
      <c r="D42">
        <v>5</v>
      </c>
    </row>
    <row r="43" spans="1:4" x14ac:dyDescent="0.25">
      <c r="A43" s="2">
        <v>46071</v>
      </c>
      <c r="B43" t="s">
        <v>35</v>
      </c>
      <c r="C43" t="s">
        <v>38</v>
      </c>
      <c r="D43">
        <v>38</v>
      </c>
    </row>
    <row r="44" spans="1:4" x14ac:dyDescent="0.25">
      <c r="A44" s="2">
        <v>46074</v>
      </c>
      <c r="B44" t="s">
        <v>33</v>
      </c>
      <c r="C44" t="s">
        <v>77</v>
      </c>
      <c r="D44">
        <v>24</v>
      </c>
    </row>
    <row r="45" spans="1:4" x14ac:dyDescent="0.25">
      <c r="A45" s="2">
        <v>46074</v>
      </c>
      <c r="B45" t="s">
        <v>34</v>
      </c>
      <c r="C45" t="s">
        <v>78</v>
      </c>
      <c r="D45">
        <v>30</v>
      </c>
    </row>
    <row r="46" spans="1:4" x14ac:dyDescent="0.25">
      <c r="A46" s="2">
        <v>46074</v>
      </c>
      <c r="B46" t="s">
        <v>35</v>
      </c>
      <c r="C46" t="s">
        <v>38</v>
      </c>
      <c r="D46">
        <v>38</v>
      </c>
    </row>
    <row r="47" spans="1:4" x14ac:dyDescent="0.25">
      <c r="A47" s="2">
        <v>46077</v>
      </c>
      <c r="B47" t="s">
        <v>32</v>
      </c>
      <c r="C47" t="s">
        <v>76</v>
      </c>
      <c r="D47">
        <v>37</v>
      </c>
    </row>
    <row r="48" spans="1:4" x14ac:dyDescent="0.25">
      <c r="A48" s="2">
        <v>46077</v>
      </c>
      <c r="B48" t="s">
        <v>33</v>
      </c>
      <c r="C48" t="s">
        <v>77</v>
      </c>
      <c r="D48">
        <v>25</v>
      </c>
    </row>
    <row r="49" spans="1:4" x14ac:dyDescent="0.25">
      <c r="A49" s="2">
        <v>46077</v>
      </c>
      <c r="B49" t="s">
        <v>34</v>
      </c>
      <c r="C49" t="s">
        <v>78</v>
      </c>
      <c r="D49">
        <v>10</v>
      </c>
    </row>
    <row r="50" spans="1:4" x14ac:dyDescent="0.25">
      <c r="A50" s="2">
        <v>46077</v>
      </c>
      <c r="B50" t="s">
        <v>35</v>
      </c>
      <c r="C50" t="s">
        <v>38</v>
      </c>
      <c r="D50">
        <v>15</v>
      </c>
    </row>
    <row r="51" spans="1:4" x14ac:dyDescent="0.25">
      <c r="A51" s="2">
        <v>46080</v>
      </c>
      <c r="B51" t="s">
        <v>33</v>
      </c>
      <c r="C51" t="s">
        <v>77</v>
      </c>
      <c r="D51">
        <v>13</v>
      </c>
    </row>
    <row r="52" spans="1:4" x14ac:dyDescent="0.25">
      <c r="A52" s="2">
        <v>46080</v>
      </c>
      <c r="B52" t="s">
        <v>34</v>
      </c>
      <c r="C52" t="s">
        <v>78</v>
      </c>
      <c r="D52">
        <v>36</v>
      </c>
    </row>
    <row r="53" spans="1:4" x14ac:dyDescent="0.25">
      <c r="A53" s="2">
        <v>46080</v>
      </c>
      <c r="B53" t="s">
        <v>35</v>
      </c>
      <c r="C53" t="s">
        <v>38</v>
      </c>
      <c r="D53">
        <v>25</v>
      </c>
    </row>
    <row r="54" spans="1:4" x14ac:dyDescent="0.25">
      <c r="A54" s="2">
        <v>46083</v>
      </c>
      <c r="B54" t="s">
        <v>34</v>
      </c>
      <c r="C54" t="s">
        <v>78</v>
      </c>
      <c r="D54">
        <v>7</v>
      </c>
    </row>
    <row r="55" spans="1:4" x14ac:dyDescent="0.25">
      <c r="A55" s="2">
        <v>46083</v>
      </c>
      <c r="B55" t="s">
        <v>35</v>
      </c>
      <c r="C55" t="s">
        <v>38</v>
      </c>
      <c r="D55">
        <v>33</v>
      </c>
    </row>
    <row r="56" spans="1:4" x14ac:dyDescent="0.25">
      <c r="A56" s="2">
        <v>46086</v>
      </c>
      <c r="B56" t="s">
        <v>33</v>
      </c>
      <c r="C56" t="s">
        <v>77</v>
      </c>
      <c r="D56">
        <v>26</v>
      </c>
    </row>
    <row r="57" spans="1:4" x14ac:dyDescent="0.25">
      <c r="A57" s="2">
        <v>46086</v>
      </c>
      <c r="B57" t="s">
        <v>34</v>
      </c>
      <c r="C57" t="s">
        <v>78</v>
      </c>
      <c r="D57">
        <v>39</v>
      </c>
    </row>
    <row r="58" spans="1:4" x14ac:dyDescent="0.25">
      <c r="A58" s="2">
        <v>46086</v>
      </c>
      <c r="B58" t="s">
        <v>35</v>
      </c>
      <c r="C58" t="s">
        <v>38</v>
      </c>
      <c r="D58">
        <v>34</v>
      </c>
    </row>
    <row r="59" spans="1:4" x14ac:dyDescent="0.25">
      <c r="A59" s="2">
        <v>46089</v>
      </c>
      <c r="B59" t="s">
        <v>32</v>
      </c>
      <c r="C59" t="s">
        <v>76</v>
      </c>
      <c r="D59">
        <v>5</v>
      </c>
    </row>
    <row r="60" spans="1:4" x14ac:dyDescent="0.25">
      <c r="A60" s="2">
        <v>46089</v>
      </c>
      <c r="B60" t="s">
        <v>33</v>
      </c>
      <c r="C60" t="s">
        <v>77</v>
      </c>
      <c r="D60">
        <v>31</v>
      </c>
    </row>
    <row r="61" spans="1:4" x14ac:dyDescent="0.25">
      <c r="A61" s="2">
        <v>46092</v>
      </c>
      <c r="B61" t="s">
        <v>33</v>
      </c>
      <c r="C61" t="s">
        <v>77</v>
      </c>
      <c r="D61">
        <v>14</v>
      </c>
    </row>
    <row r="62" spans="1:4" x14ac:dyDescent="0.25">
      <c r="A62" s="2">
        <v>46092</v>
      </c>
      <c r="B62" t="s">
        <v>35</v>
      </c>
      <c r="C62" t="s">
        <v>38</v>
      </c>
      <c r="D62">
        <v>27</v>
      </c>
    </row>
    <row r="63" spans="1:4" x14ac:dyDescent="0.25">
      <c r="A63" s="2">
        <v>46095</v>
      </c>
      <c r="B63" t="s">
        <v>32</v>
      </c>
      <c r="C63" t="s">
        <v>76</v>
      </c>
      <c r="D63">
        <v>4</v>
      </c>
    </row>
    <row r="64" spans="1:4" x14ac:dyDescent="0.25">
      <c r="A64" s="2">
        <v>46095</v>
      </c>
      <c r="B64" t="s">
        <v>33</v>
      </c>
      <c r="C64" t="s">
        <v>77</v>
      </c>
      <c r="D64">
        <v>19</v>
      </c>
    </row>
    <row r="65" spans="1:4" x14ac:dyDescent="0.25">
      <c r="A65" s="2">
        <v>46095</v>
      </c>
      <c r="B65" t="s">
        <v>34</v>
      </c>
      <c r="C65" t="s">
        <v>78</v>
      </c>
      <c r="D65">
        <v>37</v>
      </c>
    </row>
    <row r="66" spans="1:4" x14ac:dyDescent="0.25">
      <c r="A66" s="2">
        <v>46098</v>
      </c>
      <c r="B66" t="s">
        <v>32</v>
      </c>
      <c r="C66" t="s">
        <v>76</v>
      </c>
      <c r="D66">
        <v>9</v>
      </c>
    </row>
    <row r="67" spans="1:4" x14ac:dyDescent="0.25">
      <c r="A67" s="2">
        <v>46101</v>
      </c>
      <c r="B67" t="s">
        <v>34</v>
      </c>
      <c r="C67" t="s">
        <v>78</v>
      </c>
      <c r="D67">
        <v>3</v>
      </c>
    </row>
    <row r="68" spans="1:4" x14ac:dyDescent="0.25">
      <c r="A68" s="2">
        <v>46104</v>
      </c>
      <c r="B68" t="s">
        <v>32</v>
      </c>
      <c r="C68" t="s">
        <v>76</v>
      </c>
      <c r="D68">
        <v>23</v>
      </c>
    </row>
    <row r="69" spans="1:4" x14ac:dyDescent="0.25">
      <c r="A69" s="2">
        <v>46104</v>
      </c>
      <c r="B69" t="s">
        <v>35</v>
      </c>
      <c r="C69" t="s">
        <v>38</v>
      </c>
      <c r="D69">
        <v>5</v>
      </c>
    </row>
    <row r="70" spans="1:4" x14ac:dyDescent="0.25">
      <c r="A70" s="2">
        <v>46107</v>
      </c>
      <c r="B70" t="s">
        <v>32</v>
      </c>
      <c r="C70" t="s">
        <v>76</v>
      </c>
      <c r="D70">
        <v>20</v>
      </c>
    </row>
    <row r="71" spans="1:4" x14ac:dyDescent="0.25">
      <c r="A71" s="2">
        <v>46107</v>
      </c>
      <c r="B71" t="s">
        <v>33</v>
      </c>
      <c r="C71" t="s">
        <v>77</v>
      </c>
      <c r="D71">
        <v>5</v>
      </c>
    </row>
    <row r="72" spans="1:4" x14ac:dyDescent="0.25">
      <c r="A72" s="2">
        <v>46107</v>
      </c>
      <c r="B72" t="s">
        <v>34</v>
      </c>
      <c r="C72" t="s">
        <v>78</v>
      </c>
      <c r="D72">
        <v>35</v>
      </c>
    </row>
    <row r="73" spans="1:4" x14ac:dyDescent="0.25">
      <c r="A73" s="2">
        <v>46107</v>
      </c>
      <c r="B73" t="s">
        <v>35</v>
      </c>
      <c r="C73" t="s">
        <v>38</v>
      </c>
      <c r="D73">
        <v>3</v>
      </c>
    </row>
    <row r="74" spans="1:4" x14ac:dyDescent="0.25">
      <c r="A74" s="2">
        <v>46113</v>
      </c>
      <c r="B74" t="s">
        <v>33</v>
      </c>
      <c r="C74" t="s">
        <v>77</v>
      </c>
      <c r="D74">
        <v>31</v>
      </c>
    </row>
    <row r="75" spans="1:4" x14ac:dyDescent="0.25">
      <c r="A75" s="2">
        <v>46116</v>
      </c>
      <c r="B75" t="s">
        <v>32</v>
      </c>
      <c r="C75" t="s">
        <v>76</v>
      </c>
      <c r="D75">
        <v>2</v>
      </c>
    </row>
    <row r="76" spans="1:4" x14ac:dyDescent="0.25">
      <c r="A76" s="2">
        <v>46119</v>
      </c>
      <c r="B76" t="s">
        <v>32</v>
      </c>
      <c r="C76" t="s">
        <v>76</v>
      </c>
      <c r="D76">
        <v>38</v>
      </c>
    </row>
    <row r="77" spans="1:4" x14ac:dyDescent="0.25">
      <c r="A77" s="2">
        <v>46119</v>
      </c>
      <c r="B77" t="s">
        <v>33</v>
      </c>
      <c r="C77" t="s">
        <v>77</v>
      </c>
      <c r="D77">
        <v>5</v>
      </c>
    </row>
    <row r="78" spans="1:4" x14ac:dyDescent="0.25">
      <c r="A78" s="2">
        <v>46119</v>
      </c>
      <c r="B78" t="s">
        <v>34</v>
      </c>
      <c r="C78" t="s">
        <v>78</v>
      </c>
      <c r="D78">
        <v>8</v>
      </c>
    </row>
    <row r="79" spans="1:4" x14ac:dyDescent="0.25">
      <c r="A79" s="2">
        <v>46122</v>
      </c>
      <c r="B79" t="s">
        <v>34</v>
      </c>
      <c r="C79" t="s">
        <v>78</v>
      </c>
      <c r="D79">
        <v>38</v>
      </c>
    </row>
    <row r="80" spans="1:4" x14ac:dyDescent="0.25">
      <c r="A80" s="2">
        <v>46122</v>
      </c>
      <c r="B80" t="s">
        <v>35</v>
      </c>
      <c r="C80" t="s">
        <v>38</v>
      </c>
      <c r="D80">
        <v>30</v>
      </c>
    </row>
    <row r="81" spans="1:4" x14ac:dyDescent="0.25">
      <c r="A81" s="2">
        <v>46125</v>
      </c>
      <c r="B81" t="s">
        <v>33</v>
      </c>
      <c r="C81" t="s">
        <v>77</v>
      </c>
      <c r="D81">
        <v>33</v>
      </c>
    </row>
    <row r="82" spans="1:4" x14ac:dyDescent="0.25">
      <c r="A82" s="2">
        <v>46125</v>
      </c>
      <c r="B82" t="s">
        <v>34</v>
      </c>
      <c r="C82" t="s">
        <v>78</v>
      </c>
      <c r="D82">
        <v>39</v>
      </c>
    </row>
    <row r="83" spans="1:4" x14ac:dyDescent="0.25">
      <c r="A83" s="2">
        <v>46125</v>
      </c>
      <c r="B83" t="s">
        <v>35</v>
      </c>
      <c r="C83" t="s">
        <v>38</v>
      </c>
      <c r="D83">
        <v>2</v>
      </c>
    </row>
    <row r="84" spans="1:4" x14ac:dyDescent="0.25">
      <c r="A84" s="2">
        <v>46128</v>
      </c>
      <c r="B84" t="s">
        <v>32</v>
      </c>
      <c r="C84" t="s">
        <v>76</v>
      </c>
      <c r="D84">
        <v>8</v>
      </c>
    </row>
    <row r="85" spans="1:4" x14ac:dyDescent="0.25">
      <c r="A85" s="2">
        <v>46128</v>
      </c>
      <c r="B85" t="s">
        <v>33</v>
      </c>
      <c r="C85" t="s">
        <v>77</v>
      </c>
      <c r="D85">
        <v>40</v>
      </c>
    </row>
    <row r="86" spans="1:4" x14ac:dyDescent="0.25">
      <c r="A86" s="2">
        <v>46128</v>
      </c>
      <c r="B86" t="s">
        <v>35</v>
      </c>
      <c r="C86" t="s">
        <v>38</v>
      </c>
      <c r="D86">
        <v>1</v>
      </c>
    </row>
    <row r="87" spans="1:4" x14ac:dyDescent="0.25">
      <c r="A87" s="2">
        <v>46131</v>
      </c>
      <c r="B87" t="s">
        <v>32</v>
      </c>
      <c r="C87" t="s">
        <v>76</v>
      </c>
      <c r="D87">
        <v>10</v>
      </c>
    </row>
    <row r="88" spans="1:4" x14ac:dyDescent="0.25">
      <c r="A88" s="2">
        <v>46131</v>
      </c>
      <c r="B88" t="s">
        <v>34</v>
      </c>
      <c r="C88" t="s">
        <v>78</v>
      </c>
      <c r="D88">
        <v>11</v>
      </c>
    </row>
    <row r="89" spans="1:4" x14ac:dyDescent="0.25">
      <c r="A89" s="2">
        <v>46134</v>
      </c>
      <c r="B89" t="s">
        <v>32</v>
      </c>
      <c r="C89" t="s">
        <v>76</v>
      </c>
      <c r="D89">
        <v>29</v>
      </c>
    </row>
    <row r="90" spans="1:4" x14ac:dyDescent="0.25">
      <c r="A90" s="2">
        <v>46134</v>
      </c>
      <c r="B90" t="s">
        <v>33</v>
      </c>
      <c r="C90" t="s">
        <v>77</v>
      </c>
      <c r="D90">
        <v>16</v>
      </c>
    </row>
    <row r="91" spans="1:4" x14ac:dyDescent="0.25">
      <c r="A91" s="2">
        <v>46134</v>
      </c>
      <c r="B91" t="s">
        <v>34</v>
      </c>
      <c r="C91" t="s">
        <v>78</v>
      </c>
      <c r="D91">
        <v>17</v>
      </c>
    </row>
    <row r="92" spans="1:4" x14ac:dyDescent="0.25">
      <c r="A92" s="2">
        <v>46134</v>
      </c>
      <c r="B92" t="s">
        <v>35</v>
      </c>
      <c r="C92" t="s">
        <v>38</v>
      </c>
      <c r="D92">
        <v>28</v>
      </c>
    </row>
    <row r="93" spans="1:4" x14ac:dyDescent="0.25">
      <c r="A93" s="2">
        <v>46137</v>
      </c>
      <c r="B93" t="s">
        <v>34</v>
      </c>
      <c r="C93" t="s">
        <v>78</v>
      </c>
      <c r="D93">
        <v>14</v>
      </c>
    </row>
    <row r="94" spans="1:4" x14ac:dyDescent="0.25">
      <c r="A94" s="2">
        <v>46137</v>
      </c>
      <c r="B94" t="s">
        <v>35</v>
      </c>
      <c r="C94" t="s">
        <v>38</v>
      </c>
      <c r="D94">
        <v>38</v>
      </c>
    </row>
    <row r="95" spans="1:4" x14ac:dyDescent="0.25">
      <c r="A95" s="2">
        <v>46140</v>
      </c>
      <c r="B95" t="s">
        <v>33</v>
      </c>
      <c r="C95" t="s">
        <v>77</v>
      </c>
      <c r="D95">
        <v>9</v>
      </c>
    </row>
    <row r="96" spans="1:4" x14ac:dyDescent="0.25">
      <c r="A96" s="2">
        <v>46140</v>
      </c>
      <c r="B96" t="s">
        <v>34</v>
      </c>
      <c r="C96" t="s">
        <v>78</v>
      </c>
      <c r="D96">
        <v>3</v>
      </c>
    </row>
    <row r="97" spans="1:4" x14ac:dyDescent="0.25">
      <c r="A97" s="2">
        <v>46143</v>
      </c>
      <c r="B97" t="s">
        <v>33</v>
      </c>
      <c r="C97" t="s">
        <v>77</v>
      </c>
      <c r="D97">
        <v>11</v>
      </c>
    </row>
    <row r="98" spans="1:4" x14ac:dyDescent="0.25">
      <c r="A98" s="2">
        <v>46143</v>
      </c>
      <c r="B98" t="s">
        <v>34</v>
      </c>
      <c r="C98" t="s">
        <v>78</v>
      </c>
      <c r="D98">
        <v>31</v>
      </c>
    </row>
    <row r="99" spans="1:4" x14ac:dyDescent="0.25">
      <c r="A99" s="2">
        <v>46143</v>
      </c>
      <c r="B99" t="s">
        <v>35</v>
      </c>
      <c r="C99" t="s">
        <v>38</v>
      </c>
      <c r="D99">
        <v>14</v>
      </c>
    </row>
    <row r="100" spans="1:4" x14ac:dyDescent="0.25">
      <c r="A100" s="2">
        <v>46146</v>
      </c>
      <c r="B100" t="s">
        <v>33</v>
      </c>
      <c r="C100" t="s">
        <v>77</v>
      </c>
      <c r="D100">
        <v>34</v>
      </c>
    </row>
    <row r="101" spans="1:4" x14ac:dyDescent="0.25">
      <c r="A101" s="2">
        <v>46146</v>
      </c>
      <c r="B101" t="s">
        <v>34</v>
      </c>
      <c r="C101" t="s">
        <v>78</v>
      </c>
      <c r="D101">
        <v>21</v>
      </c>
    </row>
    <row r="102" spans="1:4" x14ac:dyDescent="0.25">
      <c r="A102" s="2">
        <v>46149</v>
      </c>
      <c r="B102" t="s">
        <v>34</v>
      </c>
      <c r="C102" t="s">
        <v>78</v>
      </c>
      <c r="D102">
        <v>3</v>
      </c>
    </row>
    <row r="103" spans="1:4" x14ac:dyDescent="0.25">
      <c r="A103" s="2">
        <v>46149</v>
      </c>
      <c r="B103" t="s">
        <v>35</v>
      </c>
      <c r="C103" t="s">
        <v>38</v>
      </c>
      <c r="D103">
        <v>39</v>
      </c>
    </row>
    <row r="104" spans="1:4" x14ac:dyDescent="0.25">
      <c r="A104" s="2">
        <v>46152</v>
      </c>
      <c r="B104" t="s">
        <v>32</v>
      </c>
      <c r="C104" t="s">
        <v>76</v>
      </c>
      <c r="D104">
        <v>18</v>
      </c>
    </row>
    <row r="105" spans="1:4" x14ac:dyDescent="0.25">
      <c r="A105" s="2">
        <v>46152</v>
      </c>
      <c r="B105" t="s">
        <v>34</v>
      </c>
      <c r="C105" t="s">
        <v>78</v>
      </c>
      <c r="D105">
        <v>37</v>
      </c>
    </row>
    <row r="106" spans="1:4" x14ac:dyDescent="0.25">
      <c r="A106" s="2">
        <v>46152</v>
      </c>
      <c r="B106" t="s">
        <v>35</v>
      </c>
      <c r="C106" t="s">
        <v>38</v>
      </c>
      <c r="D106">
        <v>9</v>
      </c>
    </row>
    <row r="107" spans="1:4" x14ac:dyDescent="0.25">
      <c r="A107" s="2">
        <v>46155</v>
      </c>
      <c r="B107" t="s">
        <v>32</v>
      </c>
      <c r="C107" t="s">
        <v>76</v>
      </c>
      <c r="D107">
        <v>13</v>
      </c>
    </row>
    <row r="108" spans="1:4" x14ac:dyDescent="0.25">
      <c r="A108" s="2">
        <v>46155</v>
      </c>
      <c r="B108" t="s">
        <v>33</v>
      </c>
      <c r="C108" t="s">
        <v>77</v>
      </c>
      <c r="D108">
        <v>18</v>
      </c>
    </row>
    <row r="109" spans="1:4" x14ac:dyDescent="0.25">
      <c r="A109" s="2">
        <v>46155</v>
      </c>
      <c r="B109" t="s">
        <v>34</v>
      </c>
      <c r="C109" t="s">
        <v>78</v>
      </c>
      <c r="D109">
        <v>10</v>
      </c>
    </row>
    <row r="110" spans="1:4" x14ac:dyDescent="0.25">
      <c r="A110" s="2">
        <v>46158</v>
      </c>
      <c r="B110" t="s">
        <v>33</v>
      </c>
      <c r="C110" t="s">
        <v>77</v>
      </c>
      <c r="D110">
        <v>7</v>
      </c>
    </row>
    <row r="111" spans="1:4" x14ac:dyDescent="0.25">
      <c r="A111" s="2">
        <v>46161</v>
      </c>
      <c r="B111" t="s">
        <v>35</v>
      </c>
      <c r="C111" t="s">
        <v>38</v>
      </c>
      <c r="D111">
        <v>31</v>
      </c>
    </row>
    <row r="112" spans="1:4" x14ac:dyDescent="0.25">
      <c r="A112" s="2">
        <v>46163</v>
      </c>
      <c r="B112" t="s">
        <v>32</v>
      </c>
      <c r="C112" t="s">
        <v>76</v>
      </c>
      <c r="D112">
        <v>1</v>
      </c>
    </row>
    <row r="113" spans="1:4" x14ac:dyDescent="0.25">
      <c r="A113" s="2">
        <v>46163</v>
      </c>
      <c r="B113" t="s">
        <v>34</v>
      </c>
      <c r="C113" t="s">
        <v>78</v>
      </c>
      <c r="D113">
        <v>3</v>
      </c>
    </row>
    <row r="114" spans="1:4" x14ac:dyDescent="0.25">
      <c r="A114" s="2">
        <v>46163</v>
      </c>
      <c r="B114" t="s">
        <v>35</v>
      </c>
      <c r="C114" t="s">
        <v>38</v>
      </c>
      <c r="D114">
        <v>18</v>
      </c>
    </row>
    <row r="115" spans="1:4" x14ac:dyDescent="0.25">
      <c r="A115" s="2">
        <v>46164</v>
      </c>
      <c r="B115" t="s">
        <v>33</v>
      </c>
      <c r="C115" t="s">
        <v>77</v>
      </c>
      <c r="D115">
        <v>34</v>
      </c>
    </row>
    <row r="116" spans="1:4" x14ac:dyDescent="0.25">
      <c r="A116" s="2">
        <v>46164</v>
      </c>
      <c r="B116" t="s">
        <v>34</v>
      </c>
      <c r="C116" t="s">
        <v>78</v>
      </c>
      <c r="D116">
        <v>11</v>
      </c>
    </row>
    <row r="117" spans="1:4" x14ac:dyDescent="0.25">
      <c r="A117" s="2">
        <v>46164</v>
      </c>
      <c r="B117" t="s">
        <v>35</v>
      </c>
      <c r="C117" t="s">
        <v>38</v>
      </c>
      <c r="D117">
        <v>15</v>
      </c>
    </row>
    <row r="118" spans="1:4" x14ac:dyDescent="0.25">
      <c r="A118" s="2">
        <v>46165</v>
      </c>
      <c r="B118" t="s">
        <v>32</v>
      </c>
      <c r="C118" t="s">
        <v>76</v>
      </c>
      <c r="D118">
        <v>25</v>
      </c>
    </row>
    <row r="119" spans="1:4" x14ac:dyDescent="0.25">
      <c r="A119" s="2">
        <v>46165</v>
      </c>
      <c r="B119" t="s">
        <v>33</v>
      </c>
      <c r="C119" t="s">
        <v>77</v>
      </c>
      <c r="D119">
        <v>30</v>
      </c>
    </row>
    <row r="120" spans="1:4" x14ac:dyDescent="0.25">
      <c r="A120" s="2">
        <v>46165</v>
      </c>
      <c r="B120" t="s">
        <v>34</v>
      </c>
      <c r="C120" t="s">
        <v>78</v>
      </c>
      <c r="D120">
        <v>1</v>
      </c>
    </row>
    <row r="121" spans="1:4" x14ac:dyDescent="0.25">
      <c r="A121" s="2">
        <v>46165</v>
      </c>
      <c r="B121" t="s">
        <v>35</v>
      </c>
      <c r="C121" t="s">
        <v>38</v>
      </c>
      <c r="D121">
        <v>37</v>
      </c>
    </row>
    <row r="122" spans="1:4" x14ac:dyDescent="0.25">
      <c r="A122" s="2">
        <v>46166</v>
      </c>
      <c r="B122" t="s">
        <v>33</v>
      </c>
      <c r="C122" t="s">
        <v>77</v>
      </c>
      <c r="D122">
        <v>22</v>
      </c>
    </row>
    <row r="123" spans="1:4" x14ac:dyDescent="0.25">
      <c r="A123" s="2">
        <v>46166</v>
      </c>
      <c r="B123" t="s">
        <v>34</v>
      </c>
      <c r="C123" t="s">
        <v>78</v>
      </c>
      <c r="D123">
        <v>14</v>
      </c>
    </row>
    <row r="124" spans="1:4" x14ac:dyDescent="0.25">
      <c r="A124" s="2">
        <v>46166</v>
      </c>
      <c r="B124" t="s">
        <v>35</v>
      </c>
      <c r="C124" t="s">
        <v>38</v>
      </c>
      <c r="D124">
        <v>8</v>
      </c>
    </row>
    <row r="125" spans="1:4" x14ac:dyDescent="0.25">
      <c r="A125" s="2">
        <v>46167</v>
      </c>
      <c r="B125" t="s">
        <v>32</v>
      </c>
      <c r="C125" t="s">
        <v>76</v>
      </c>
      <c r="D125">
        <v>25</v>
      </c>
    </row>
    <row r="126" spans="1:4" x14ac:dyDescent="0.25">
      <c r="A126" s="2">
        <v>46167</v>
      </c>
      <c r="B126" t="s">
        <v>35</v>
      </c>
      <c r="C126" t="s">
        <v>38</v>
      </c>
      <c r="D126">
        <v>21</v>
      </c>
    </row>
    <row r="127" spans="1:4" x14ac:dyDescent="0.25">
      <c r="A127" s="2">
        <v>46168</v>
      </c>
      <c r="B127" t="s">
        <v>32</v>
      </c>
      <c r="C127" t="s">
        <v>76</v>
      </c>
      <c r="D127">
        <v>2</v>
      </c>
    </row>
    <row r="128" spans="1:4" x14ac:dyDescent="0.25">
      <c r="A128" s="2">
        <v>46168</v>
      </c>
      <c r="B128" t="s">
        <v>33</v>
      </c>
      <c r="C128" t="s">
        <v>77</v>
      </c>
      <c r="D128">
        <v>6</v>
      </c>
    </row>
    <row r="129" spans="1:4" x14ac:dyDescent="0.25">
      <c r="A129" s="2">
        <v>46168</v>
      </c>
      <c r="B129" t="s">
        <v>34</v>
      </c>
      <c r="C129" t="s">
        <v>78</v>
      </c>
      <c r="D129">
        <v>22</v>
      </c>
    </row>
    <row r="130" spans="1:4" x14ac:dyDescent="0.25">
      <c r="A130" s="2">
        <v>46169</v>
      </c>
      <c r="B130" t="s">
        <v>33</v>
      </c>
      <c r="C130" t="s">
        <v>77</v>
      </c>
      <c r="D130">
        <v>2</v>
      </c>
    </row>
    <row r="131" spans="1:4" x14ac:dyDescent="0.25">
      <c r="A131" s="2">
        <v>46169</v>
      </c>
      <c r="B131" t="s">
        <v>34</v>
      </c>
      <c r="C131" t="s">
        <v>78</v>
      </c>
      <c r="D131">
        <v>5</v>
      </c>
    </row>
    <row r="132" spans="1:4" x14ac:dyDescent="0.25">
      <c r="A132" s="2">
        <v>46169</v>
      </c>
      <c r="B132" t="s">
        <v>35</v>
      </c>
      <c r="C132" t="s">
        <v>38</v>
      </c>
      <c r="D132">
        <v>3</v>
      </c>
    </row>
    <row r="133" spans="1:4" x14ac:dyDescent="0.25">
      <c r="A133" s="2">
        <v>46170</v>
      </c>
      <c r="B133" t="s">
        <v>32</v>
      </c>
      <c r="C133" t="s">
        <v>76</v>
      </c>
      <c r="D133">
        <v>22</v>
      </c>
    </row>
    <row r="134" spans="1:4" x14ac:dyDescent="0.25">
      <c r="A134" s="2">
        <v>46170</v>
      </c>
      <c r="B134" t="s">
        <v>35</v>
      </c>
      <c r="C134" t="s">
        <v>38</v>
      </c>
      <c r="D134">
        <v>34</v>
      </c>
    </row>
    <row r="135" spans="1:4" x14ac:dyDescent="0.25">
      <c r="A135" s="2">
        <v>46171</v>
      </c>
      <c r="B135" t="s">
        <v>33</v>
      </c>
      <c r="C135" t="s">
        <v>77</v>
      </c>
      <c r="D135">
        <v>29</v>
      </c>
    </row>
    <row r="136" spans="1:4" x14ac:dyDescent="0.25">
      <c r="A136" s="2">
        <v>46171</v>
      </c>
      <c r="B136" t="s">
        <v>35</v>
      </c>
      <c r="C136" t="s">
        <v>38</v>
      </c>
      <c r="D136">
        <v>6</v>
      </c>
    </row>
    <row r="137" spans="1:4" x14ac:dyDescent="0.25">
      <c r="A137" s="2">
        <v>46172</v>
      </c>
      <c r="B137" t="s">
        <v>33</v>
      </c>
      <c r="C137" t="s">
        <v>77</v>
      </c>
      <c r="D137">
        <v>36</v>
      </c>
    </row>
    <row r="138" spans="1:4" x14ac:dyDescent="0.25">
      <c r="A138" s="2">
        <v>46172</v>
      </c>
      <c r="B138" t="s">
        <v>34</v>
      </c>
      <c r="C138" t="s">
        <v>78</v>
      </c>
      <c r="D138">
        <v>36</v>
      </c>
    </row>
    <row r="139" spans="1:4" x14ac:dyDescent="0.25">
      <c r="A139" s="2">
        <v>46173</v>
      </c>
      <c r="B139" t="s">
        <v>32</v>
      </c>
      <c r="C139" t="s">
        <v>76</v>
      </c>
      <c r="D139">
        <v>36</v>
      </c>
    </row>
    <row r="140" spans="1:4" x14ac:dyDescent="0.25">
      <c r="A140" s="2">
        <v>46173</v>
      </c>
      <c r="B140" t="s">
        <v>33</v>
      </c>
      <c r="C140" t="s">
        <v>77</v>
      </c>
      <c r="D140">
        <v>25</v>
      </c>
    </row>
    <row r="141" spans="1:4" x14ac:dyDescent="0.25">
      <c r="A141" s="2">
        <v>46174</v>
      </c>
      <c r="B141" t="s">
        <v>33</v>
      </c>
      <c r="C141" t="s">
        <v>77</v>
      </c>
      <c r="D141">
        <v>10</v>
      </c>
    </row>
    <row r="142" spans="1:4" x14ac:dyDescent="0.25">
      <c r="A142" s="2">
        <v>46174</v>
      </c>
      <c r="B142" t="s">
        <v>35</v>
      </c>
      <c r="C142" t="s">
        <v>38</v>
      </c>
      <c r="D142">
        <v>37</v>
      </c>
    </row>
    <row r="143" spans="1:4" x14ac:dyDescent="0.25">
      <c r="A143" s="2">
        <v>46175</v>
      </c>
      <c r="B143" t="s">
        <v>32</v>
      </c>
      <c r="C143" t="s">
        <v>76</v>
      </c>
      <c r="D143">
        <v>27</v>
      </c>
    </row>
    <row r="144" spans="1:4" x14ac:dyDescent="0.25">
      <c r="A144" s="2">
        <v>46175</v>
      </c>
      <c r="B144" t="s">
        <v>33</v>
      </c>
      <c r="C144" t="s">
        <v>77</v>
      </c>
      <c r="D144">
        <v>33</v>
      </c>
    </row>
    <row r="145" spans="1:4" x14ac:dyDescent="0.25">
      <c r="A145" s="2">
        <v>46175</v>
      </c>
      <c r="B145" t="s">
        <v>34</v>
      </c>
      <c r="C145" t="s">
        <v>78</v>
      </c>
      <c r="D145">
        <v>25</v>
      </c>
    </row>
    <row r="146" spans="1:4" x14ac:dyDescent="0.25">
      <c r="A146" s="2">
        <v>46175</v>
      </c>
      <c r="B146" t="s">
        <v>35</v>
      </c>
      <c r="C146" t="s">
        <v>38</v>
      </c>
      <c r="D146">
        <v>3</v>
      </c>
    </row>
    <row r="147" spans="1:4" x14ac:dyDescent="0.25">
      <c r="A147" s="2">
        <v>46176</v>
      </c>
      <c r="B147" t="s">
        <v>32</v>
      </c>
      <c r="C147" t="s">
        <v>76</v>
      </c>
      <c r="D147">
        <v>26</v>
      </c>
    </row>
    <row r="148" spans="1:4" x14ac:dyDescent="0.25">
      <c r="A148" s="2">
        <v>46176</v>
      </c>
      <c r="B148" t="s">
        <v>33</v>
      </c>
      <c r="C148" t="s">
        <v>77</v>
      </c>
      <c r="D148">
        <v>37</v>
      </c>
    </row>
    <row r="149" spans="1:4" x14ac:dyDescent="0.25">
      <c r="A149" s="2">
        <v>46176</v>
      </c>
      <c r="B149" t="s">
        <v>34</v>
      </c>
      <c r="C149" t="s">
        <v>78</v>
      </c>
      <c r="D149">
        <v>6</v>
      </c>
    </row>
    <row r="150" spans="1:4" x14ac:dyDescent="0.25">
      <c r="A150" s="2">
        <v>46177</v>
      </c>
      <c r="B150" t="s">
        <v>32</v>
      </c>
      <c r="C150" t="s">
        <v>76</v>
      </c>
      <c r="D150">
        <v>35</v>
      </c>
    </row>
    <row r="151" spans="1:4" x14ac:dyDescent="0.25">
      <c r="A151" s="2">
        <v>46177</v>
      </c>
      <c r="B151" t="s">
        <v>33</v>
      </c>
      <c r="C151" t="s">
        <v>77</v>
      </c>
      <c r="D151">
        <v>26</v>
      </c>
    </row>
    <row r="152" spans="1:4" x14ac:dyDescent="0.25">
      <c r="A152" s="2">
        <v>46177</v>
      </c>
      <c r="B152" t="s">
        <v>34</v>
      </c>
      <c r="C152" t="s">
        <v>78</v>
      </c>
      <c r="D152">
        <v>31</v>
      </c>
    </row>
    <row r="153" spans="1:4" x14ac:dyDescent="0.25">
      <c r="A153" s="2">
        <v>46177</v>
      </c>
      <c r="B153" t="s">
        <v>35</v>
      </c>
      <c r="C153" t="s">
        <v>38</v>
      </c>
      <c r="D153">
        <v>22</v>
      </c>
    </row>
    <row r="154" spans="1:4" x14ac:dyDescent="0.25">
      <c r="A154" s="2">
        <v>46178</v>
      </c>
      <c r="B154" t="s">
        <v>32</v>
      </c>
      <c r="C154" t="s">
        <v>76</v>
      </c>
      <c r="D154">
        <v>31</v>
      </c>
    </row>
    <row r="155" spans="1:4" x14ac:dyDescent="0.25">
      <c r="A155" s="2">
        <v>46178</v>
      </c>
      <c r="B155" t="s">
        <v>33</v>
      </c>
      <c r="C155" t="s">
        <v>77</v>
      </c>
      <c r="D155">
        <v>7</v>
      </c>
    </row>
    <row r="156" spans="1:4" x14ac:dyDescent="0.25">
      <c r="A156" s="2">
        <v>46178</v>
      </c>
      <c r="B156" t="s">
        <v>34</v>
      </c>
      <c r="C156" t="s">
        <v>78</v>
      </c>
      <c r="D156">
        <v>40</v>
      </c>
    </row>
    <row r="157" spans="1:4" x14ac:dyDescent="0.25">
      <c r="A157" s="2">
        <v>46178</v>
      </c>
      <c r="B157" t="s">
        <v>35</v>
      </c>
      <c r="C157" t="s">
        <v>38</v>
      </c>
      <c r="D157">
        <v>17</v>
      </c>
    </row>
    <row r="158" spans="1:4" x14ac:dyDescent="0.25">
      <c r="A158" s="2">
        <v>46179</v>
      </c>
      <c r="B158" t="s">
        <v>32</v>
      </c>
      <c r="C158" t="s">
        <v>76</v>
      </c>
      <c r="D158">
        <v>2</v>
      </c>
    </row>
    <row r="159" spans="1:4" x14ac:dyDescent="0.25">
      <c r="A159" s="2">
        <v>46179</v>
      </c>
      <c r="B159" t="s">
        <v>33</v>
      </c>
      <c r="C159" t="s">
        <v>77</v>
      </c>
      <c r="D159">
        <v>10</v>
      </c>
    </row>
    <row r="160" spans="1:4" x14ac:dyDescent="0.25">
      <c r="A160" s="2">
        <v>46179</v>
      </c>
      <c r="B160" t="s">
        <v>34</v>
      </c>
      <c r="C160" t="s">
        <v>78</v>
      </c>
      <c r="D160">
        <v>19</v>
      </c>
    </row>
    <row r="161" spans="1:4" x14ac:dyDescent="0.25">
      <c r="A161" s="2">
        <v>46179</v>
      </c>
      <c r="B161" t="s">
        <v>35</v>
      </c>
      <c r="C161" t="s">
        <v>38</v>
      </c>
      <c r="D161">
        <v>23</v>
      </c>
    </row>
    <row r="162" spans="1:4" x14ac:dyDescent="0.25">
      <c r="A162" s="2">
        <v>46180</v>
      </c>
      <c r="B162" t="s">
        <v>32</v>
      </c>
      <c r="C162" t="s">
        <v>76</v>
      </c>
      <c r="D162">
        <v>32</v>
      </c>
    </row>
    <row r="163" spans="1:4" x14ac:dyDescent="0.25">
      <c r="A163" s="2">
        <v>46180</v>
      </c>
      <c r="B163" t="s">
        <v>33</v>
      </c>
      <c r="C163" t="s">
        <v>77</v>
      </c>
      <c r="D163">
        <v>38</v>
      </c>
    </row>
    <row r="164" spans="1:4" x14ac:dyDescent="0.25">
      <c r="A164" s="2">
        <v>46180</v>
      </c>
      <c r="B164" t="s">
        <v>34</v>
      </c>
      <c r="C164" t="s">
        <v>78</v>
      </c>
      <c r="D164">
        <v>33</v>
      </c>
    </row>
    <row r="165" spans="1:4" x14ac:dyDescent="0.25">
      <c r="A165" s="2">
        <v>46181</v>
      </c>
      <c r="B165" t="s">
        <v>35</v>
      </c>
      <c r="C165" t="s">
        <v>38</v>
      </c>
      <c r="D165">
        <v>27</v>
      </c>
    </row>
    <row r="166" spans="1:4" x14ac:dyDescent="0.25">
      <c r="A166" s="2">
        <v>46182</v>
      </c>
      <c r="B166" t="s">
        <v>34</v>
      </c>
      <c r="C166" t="s">
        <v>78</v>
      </c>
      <c r="D166">
        <v>35</v>
      </c>
    </row>
    <row r="167" spans="1:4" x14ac:dyDescent="0.25">
      <c r="A167" s="2">
        <v>46183</v>
      </c>
      <c r="B167" t="s">
        <v>32</v>
      </c>
      <c r="C167" t="s">
        <v>76</v>
      </c>
      <c r="D167">
        <v>35</v>
      </c>
    </row>
    <row r="168" spans="1:4" x14ac:dyDescent="0.25">
      <c r="A168" s="2">
        <v>46183</v>
      </c>
      <c r="B168" t="s">
        <v>35</v>
      </c>
      <c r="C168" t="s">
        <v>38</v>
      </c>
      <c r="D168">
        <v>23</v>
      </c>
    </row>
    <row r="169" spans="1:4" x14ac:dyDescent="0.25">
      <c r="A169" s="2">
        <v>46204</v>
      </c>
      <c r="B169" t="s">
        <v>32</v>
      </c>
      <c r="C169" t="s">
        <v>76</v>
      </c>
      <c r="D169">
        <v>36</v>
      </c>
    </row>
    <row r="170" spans="1:4" x14ac:dyDescent="0.25">
      <c r="A170" s="2">
        <v>46204</v>
      </c>
      <c r="B170" t="s">
        <v>34</v>
      </c>
      <c r="C170" t="s">
        <v>78</v>
      </c>
      <c r="D170">
        <v>10</v>
      </c>
    </row>
    <row r="171" spans="1:4" x14ac:dyDescent="0.25">
      <c r="A171" s="2">
        <v>46205</v>
      </c>
      <c r="B171" t="s">
        <v>33</v>
      </c>
      <c r="C171" t="s">
        <v>77</v>
      </c>
      <c r="D171">
        <v>30</v>
      </c>
    </row>
    <row r="172" spans="1:4" x14ac:dyDescent="0.25">
      <c r="A172" s="2">
        <v>46205</v>
      </c>
      <c r="B172" t="s">
        <v>35</v>
      </c>
      <c r="C172" t="s">
        <v>38</v>
      </c>
      <c r="D172">
        <v>35</v>
      </c>
    </row>
    <row r="173" spans="1:4" x14ac:dyDescent="0.25">
      <c r="A173" s="2">
        <v>46206</v>
      </c>
      <c r="B173" t="s">
        <v>33</v>
      </c>
      <c r="C173" t="s">
        <v>77</v>
      </c>
      <c r="D173">
        <v>19</v>
      </c>
    </row>
    <row r="174" spans="1:4" x14ac:dyDescent="0.25">
      <c r="A174" s="2">
        <v>46206</v>
      </c>
      <c r="B174" t="s">
        <v>34</v>
      </c>
      <c r="C174" t="s">
        <v>78</v>
      </c>
      <c r="D174">
        <v>9</v>
      </c>
    </row>
    <row r="175" spans="1:4" x14ac:dyDescent="0.25">
      <c r="A175" s="2">
        <v>46206</v>
      </c>
      <c r="B175" t="s">
        <v>35</v>
      </c>
      <c r="C175" t="s">
        <v>38</v>
      </c>
      <c r="D175">
        <v>10</v>
      </c>
    </row>
    <row r="176" spans="1:4" x14ac:dyDescent="0.25">
      <c r="A176" s="2">
        <v>46209</v>
      </c>
      <c r="B176" t="s">
        <v>32</v>
      </c>
      <c r="C176" t="s">
        <v>76</v>
      </c>
      <c r="D176">
        <v>35</v>
      </c>
    </row>
    <row r="177" spans="1:4" x14ac:dyDescent="0.25">
      <c r="A177" s="2">
        <v>46209</v>
      </c>
      <c r="B177" t="s">
        <v>34</v>
      </c>
      <c r="C177" t="s">
        <v>78</v>
      </c>
      <c r="D177">
        <v>20</v>
      </c>
    </row>
    <row r="178" spans="1:4" x14ac:dyDescent="0.25">
      <c r="A178" s="2">
        <v>46209</v>
      </c>
      <c r="B178" t="s">
        <v>35</v>
      </c>
      <c r="C178" t="s">
        <v>38</v>
      </c>
      <c r="D178">
        <v>26</v>
      </c>
    </row>
    <row r="179" spans="1:4" x14ac:dyDescent="0.25">
      <c r="A179" s="2">
        <v>46210</v>
      </c>
      <c r="B179" t="s">
        <v>34</v>
      </c>
      <c r="C179" t="s">
        <v>78</v>
      </c>
      <c r="D179">
        <v>8</v>
      </c>
    </row>
    <row r="180" spans="1:4" x14ac:dyDescent="0.25">
      <c r="A180" s="2">
        <v>46211</v>
      </c>
      <c r="B180" t="s">
        <v>32</v>
      </c>
      <c r="C180" t="s">
        <v>76</v>
      </c>
      <c r="D180">
        <v>38</v>
      </c>
    </row>
    <row r="181" spans="1:4" x14ac:dyDescent="0.25">
      <c r="A181" s="2">
        <v>46211</v>
      </c>
      <c r="B181" t="s">
        <v>33</v>
      </c>
      <c r="C181" t="s">
        <v>77</v>
      </c>
      <c r="D181">
        <v>33</v>
      </c>
    </row>
    <row r="182" spans="1:4" x14ac:dyDescent="0.25">
      <c r="A182" s="2">
        <v>46211</v>
      </c>
      <c r="B182" t="s">
        <v>34</v>
      </c>
      <c r="C182" t="s">
        <v>78</v>
      </c>
      <c r="D182">
        <v>40</v>
      </c>
    </row>
    <row r="183" spans="1:4" x14ac:dyDescent="0.25">
      <c r="A183" s="2">
        <v>46211</v>
      </c>
      <c r="B183" t="s">
        <v>35</v>
      </c>
      <c r="C183" t="s">
        <v>38</v>
      </c>
      <c r="D183">
        <v>27</v>
      </c>
    </row>
    <row r="184" spans="1:4" x14ac:dyDescent="0.25">
      <c r="A184" s="2">
        <v>46212</v>
      </c>
      <c r="B184" t="s">
        <v>32</v>
      </c>
      <c r="C184" t="s">
        <v>76</v>
      </c>
      <c r="D184">
        <v>31</v>
      </c>
    </row>
    <row r="185" spans="1:4" x14ac:dyDescent="0.25">
      <c r="A185" s="2">
        <v>46212</v>
      </c>
      <c r="B185" t="s">
        <v>33</v>
      </c>
      <c r="C185" t="s">
        <v>77</v>
      </c>
      <c r="D185">
        <v>41</v>
      </c>
    </row>
    <row r="186" spans="1:4" x14ac:dyDescent="0.25">
      <c r="A186" s="2">
        <v>46212</v>
      </c>
      <c r="B186" t="s">
        <v>34</v>
      </c>
      <c r="C186" t="s">
        <v>78</v>
      </c>
      <c r="D186">
        <v>11</v>
      </c>
    </row>
    <row r="187" spans="1:4" x14ac:dyDescent="0.25">
      <c r="A187" s="2">
        <v>46212</v>
      </c>
      <c r="B187" t="s">
        <v>35</v>
      </c>
      <c r="C187" t="s">
        <v>38</v>
      </c>
      <c r="D187">
        <v>42</v>
      </c>
    </row>
    <row r="188" spans="1:4" x14ac:dyDescent="0.25">
      <c r="A188" s="2">
        <v>46213</v>
      </c>
      <c r="B188" t="s">
        <v>33</v>
      </c>
      <c r="C188" t="s">
        <v>77</v>
      </c>
      <c r="D188">
        <v>37</v>
      </c>
    </row>
    <row r="189" spans="1:4" x14ac:dyDescent="0.25">
      <c r="A189" s="2">
        <v>46213</v>
      </c>
      <c r="B189" t="s">
        <v>34</v>
      </c>
      <c r="C189" t="s">
        <v>78</v>
      </c>
      <c r="D189">
        <v>30</v>
      </c>
    </row>
    <row r="190" spans="1:4" x14ac:dyDescent="0.25">
      <c r="A190" s="2">
        <v>46213</v>
      </c>
      <c r="B190" t="s">
        <v>35</v>
      </c>
      <c r="C190" t="s">
        <v>38</v>
      </c>
      <c r="D190">
        <v>34</v>
      </c>
    </row>
    <row r="191" spans="1:4" x14ac:dyDescent="0.25">
      <c r="A191" s="2">
        <v>46216</v>
      </c>
      <c r="B191" t="s">
        <v>32</v>
      </c>
      <c r="C191" t="s">
        <v>76</v>
      </c>
      <c r="D191">
        <v>5</v>
      </c>
    </row>
    <row r="192" spans="1:4" x14ac:dyDescent="0.25">
      <c r="A192" s="2">
        <v>46216</v>
      </c>
      <c r="B192" t="s">
        <v>33</v>
      </c>
      <c r="C192" t="s">
        <v>77</v>
      </c>
      <c r="D192">
        <v>12</v>
      </c>
    </row>
    <row r="193" spans="1:4" x14ac:dyDescent="0.25">
      <c r="A193" s="2">
        <v>46217</v>
      </c>
      <c r="B193" t="s">
        <v>32</v>
      </c>
      <c r="C193" t="s">
        <v>76</v>
      </c>
      <c r="D193">
        <v>10</v>
      </c>
    </row>
    <row r="194" spans="1:4" x14ac:dyDescent="0.25">
      <c r="A194" s="2">
        <v>46217</v>
      </c>
      <c r="B194" t="s">
        <v>34</v>
      </c>
      <c r="C194" t="s">
        <v>78</v>
      </c>
      <c r="D194">
        <v>13</v>
      </c>
    </row>
    <row r="195" spans="1:4" x14ac:dyDescent="0.25">
      <c r="A195" s="2">
        <v>46217</v>
      </c>
      <c r="B195" t="s">
        <v>35</v>
      </c>
      <c r="C195" t="s">
        <v>38</v>
      </c>
      <c r="D195">
        <v>18</v>
      </c>
    </row>
    <row r="196" spans="1:4" x14ac:dyDescent="0.25">
      <c r="A196" s="2">
        <v>46218</v>
      </c>
      <c r="B196" t="s">
        <v>33</v>
      </c>
      <c r="C196" t="s">
        <v>77</v>
      </c>
      <c r="D196">
        <v>33</v>
      </c>
    </row>
    <row r="197" spans="1:4" x14ac:dyDescent="0.25">
      <c r="A197" s="2">
        <v>46219</v>
      </c>
      <c r="B197" t="s">
        <v>34</v>
      </c>
      <c r="C197" t="s">
        <v>78</v>
      </c>
      <c r="D197">
        <v>29</v>
      </c>
    </row>
    <row r="198" spans="1:4" x14ac:dyDescent="0.25">
      <c r="A198" s="2">
        <v>46220</v>
      </c>
      <c r="B198" t="s">
        <v>32</v>
      </c>
      <c r="C198" t="s">
        <v>76</v>
      </c>
      <c r="D198">
        <v>36</v>
      </c>
    </row>
    <row r="199" spans="1:4" x14ac:dyDescent="0.25">
      <c r="A199" s="2">
        <v>46220</v>
      </c>
      <c r="B199" t="s">
        <v>35</v>
      </c>
      <c r="C199" t="s">
        <v>38</v>
      </c>
      <c r="D199">
        <v>16</v>
      </c>
    </row>
  </sheetData>
  <dataValidations count="4">
    <dataValidation type="date" operator="greaterThanOrEqual" allowBlank="1" showErrorMessage="1" errorTitle="Invalid date" error="Enter a valid date (on or after 1 January 2020)." sqref="A2:A3000" xr:uid="{00000000-0002-0000-0500-000000000000}">
      <formula1>DATE(2020,1,1)</formula1>
    </dataValidation>
    <dataValidation type="list" allowBlank="1" showErrorMessage="1" errorTitle="Invalid business group" error="Select a business group from the drop-down list. Valid values are maintained on the Lists sheet." sqref="B2:B3000" xr:uid="{00000000-0002-0000-0500-000001000000}">
      <formula1>DemandGroups</formula1>
    </dataValidation>
    <dataValidation type="list" allowBlank="1" showErrorMessage="1" errorTitle="Invalid campaign/stream" error="Select a campaign/stream from the drop-down list. Valid values are maintained on the Lists sheet." sqref="C2:C3000" xr:uid="{00000000-0002-0000-0500-000002000000}">
      <formula1>DemandStreams</formula1>
    </dataValidation>
    <dataValidation type="whole" operator="greaterThanOrEqual" allowBlank="1" showErrorMessage="1" errorTitle="Invalid value" error="Daily leads must be a whole number of zero or more." sqref="D2:D3000" xr:uid="{00000000-0002-0000-0500-000003000000}">
      <formula1>0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8300"/>
  </sheetPr>
  <dimension ref="A1:D185"/>
  <sheetViews>
    <sheetView topLeftCell="A166" zoomScaleNormal="100" workbookViewId="0">
      <selection activeCell="D2" sqref="D2:D185"/>
    </sheetView>
  </sheetViews>
  <sheetFormatPr defaultColWidth="8.7109375" defaultRowHeight="15" x14ac:dyDescent="0.25"/>
  <cols>
    <col min="1" max="1" width="13" customWidth="1"/>
    <col min="2" max="2" width="20" customWidth="1"/>
    <col min="3" max="3" width="30" customWidth="1"/>
    <col min="4" max="4" width="18" customWidth="1"/>
  </cols>
  <sheetData>
    <row r="1" spans="1:4" x14ac:dyDescent="0.25">
      <c r="A1" s="1" t="s">
        <v>85</v>
      </c>
      <c r="B1" s="1" t="s">
        <v>7</v>
      </c>
      <c r="C1" s="1" t="s">
        <v>8</v>
      </c>
      <c r="D1" s="1" t="s">
        <v>87</v>
      </c>
    </row>
    <row r="2" spans="1:4" x14ac:dyDescent="0.25">
      <c r="A2" s="2">
        <v>46023</v>
      </c>
      <c r="B2" t="s">
        <v>38</v>
      </c>
      <c r="C2" t="s">
        <v>82</v>
      </c>
      <c r="D2" s="55">
        <v>116</v>
      </c>
    </row>
    <row r="3" spans="1:4" x14ac:dyDescent="0.25">
      <c r="A3" s="2">
        <v>46023</v>
      </c>
      <c r="B3" t="s">
        <v>40</v>
      </c>
      <c r="C3" t="s">
        <v>84</v>
      </c>
      <c r="D3" s="55">
        <v>513</v>
      </c>
    </row>
    <row r="4" spans="1:4" x14ac:dyDescent="0.25">
      <c r="A4" s="2">
        <v>46026</v>
      </c>
      <c r="B4" t="s">
        <v>40</v>
      </c>
      <c r="C4" t="s">
        <v>84</v>
      </c>
      <c r="D4" s="55">
        <v>1122</v>
      </c>
    </row>
    <row r="5" spans="1:4" x14ac:dyDescent="0.25">
      <c r="A5" s="2">
        <v>46029</v>
      </c>
      <c r="B5" t="s">
        <v>38</v>
      </c>
      <c r="C5" t="s">
        <v>82</v>
      </c>
      <c r="D5" s="55">
        <v>2482</v>
      </c>
    </row>
    <row r="6" spans="1:4" x14ac:dyDescent="0.25">
      <c r="A6" s="2">
        <v>46029</v>
      </c>
      <c r="B6" t="s">
        <v>39</v>
      </c>
      <c r="C6" t="s">
        <v>83</v>
      </c>
      <c r="D6" s="55">
        <v>2280</v>
      </c>
    </row>
    <row r="7" spans="1:4" x14ac:dyDescent="0.25">
      <c r="A7" s="2">
        <v>46032</v>
      </c>
      <c r="B7" t="s">
        <v>39</v>
      </c>
      <c r="C7" t="s">
        <v>83</v>
      </c>
      <c r="D7" s="55">
        <v>107</v>
      </c>
    </row>
    <row r="8" spans="1:4" x14ac:dyDescent="0.25">
      <c r="A8" s="2">
        <v>46035</v>
      </c>
      <c r="B8" t="s">
        <v>37</v>
      </c>
      <c r="C8" t="s">
        <v>81</v>
      </c>
      <c r="D8" s="55">
        <v>798</v>
      </c>
    </row>
    <row r="9" spans="1:4" x14ac:dyDescent="0.25">
      <c r="A9" s="2">
        <v>46035</v>
      </c>
      <c r="B9" t="s">
        <v>38</v>
      </c>
      <c r="C9" t="s">
        <v>82</v>
      </c>
      <c r="D9" s="55">
        <v>476</v>
      </c>
    </row>
    <row r="10" spans="1:4" x14ac:dyDescent="0.25">
      <c r="A10" s="2">
        <v>46041</v>
      </c>
      <c r="B10" t="s">
        <v>38</v>
      </c>
      <c r="C10" t="s">
        <v>82</v>
      </c>
      <c r="D10" s="55">
        <v>1630</v>
      </c>
    </row>
    <row r="11" spans="1:4" x14ac:dyDescent="0.25">
      <c r="A11" s="2">
        <v>46041</v>
      </c>
      <c r="B11" t="s">
        <v>39</v>
      </c>
      <c r="C11" t="s">
        <v>83</v>
      </c>
      <c r="D11" s="55">
        <v>2130</v>
      </c>
    </row>
    <row r="12" spans="1:4" x14ac:dyDescent="0.25">
      <c r="A12" s="2">
        <v>46041</v>
      </c>
      <c r="B12" t="s">
        <v>40</v>
      </c>
      <c r="C12" t="s">
        <v>84</v>
      </c>
      <c r="D12" s="55">
        <v>1128</v>
      </c>
    </row>
    <row r="13" spans="1:4" x14ac:dyDescent="0.25">
      <c r="A13" s="2">
        <v>46044</v>
      </c>
      <c r="B13" t="s">
        <v>38</v>
      </c>
      <c r="C13" t="s">
        <v>82</v>
      </c>
      <c r="D13" s="55">
        <v>221</v>
      </c>
    </row>
    <row r="14" spans="1:4" x14ac:dyDescent="0.25">
      <c r="A14" s="2">
        <v>46044</v>
      </c>
      <c r="B14" t="s">
        <v>39</v>
      </c>
      <c r="C14" t="s">
        <v>83</v>
      </c>
      <c r="D14" s="55">
        <v>152</v>
      </c>
    </row>
    <row r="15" spans="1:4" x14ac:dyDescent="0.25">
      <c r="A15" s="2">
        <v>46044</v>
      </c>
      <c r="B15" t="s">
        <v>40</v>
      </c>
      <c r="C15" t="s">
        <v>84</v>
      </c>
      <c r="D15" s="55">
        <v>1050</v>
      </c>
    </row>
    <row r="16" spans="1:4" x14ac:dyDescent="0.25">
      <c r="A16" s="2">
        <v>46047</v>
      </c>
      <c r="B16" t="s">
        <v>37</v>
      </c>
      <c r="C16" t="s">
        <v>81</v>
      </c>
      <c r="D16" s="55">
        <v>2138</v>
      </c>
    </row>
    <row r="17" spans="1:4" x14ac:dyDescent="0.25">
      <c r="A17" s="2">
        <v>46047</v>
      </c>
      <c r="B17" t="s">
        <v>39</v>
      </c>
      <c r="C17" t="s">
        <v>83</v>
      </c>
      <c r="D17" s="55">
        <v>777</v>
      </c>
    </row>
    <row r="18" spans="1:4" x14ac:dyDescent="0.25">
      <c r="A18" s="2">
        <v>46047</v>
      </c>
      <c r="B18" t="s">
        <v>40</v>
      </c>
      <c r="C18" t="s">
        <v>84</v>
      </c>
      <c r="D18" s="55">
        <v>1550</v>
      </c>
    </row>
    <row r="19" spans="1:4" x14ac:dyDescent="0.25">
      <c r="A19" s="2">
        <v>46050</v>
      </c>
      <c r="B19" t="s">
        <v>37</v>
      </c>
      <c r="C19" t="s">
        <v>81</v>
      </c>
      <c r="D19" s="55">
        <v>123</v>
      </c>
    </row>
    <row r="20" spans="1:4" x14ac:dyDescent="0.25">
      <c r="A20" s="2">
        <v>46050</v>
      </c>
      <c r="B20" t="s">
        <v>38</v>
      </c>
      <c r="C20" t="s">
        <v>82</v>
      </c>
      <c r="D20" s="55">
        <v>2459</v>
      </c>
    </row>
    <row r="21" spans="1:4" x14ac:dyDescent="0.25">
      <c r="A21" s="2">
        <v>46050</v>
      </c>
      <c r="B21" t="s">
        <v>40</v>
      </c>
      <c r="C21" t="s">
        <v>84</v>
      </c>
      <c r="D21" s="55">
        <v>2183</v>
      </c>
    </row>
    <row r="22" spans="1:4" x14ac:dyDescent="0.25">
      <c r="A22" s="2">
        <v>46053</v>
      </c>
      <c r="B22" t="s">
        <v>37</v>
      </c>
      <c r="C22" t="s">
        <v>81</v>
      </c>
      <c r="D22" s="55">
        <v>390</v>
      </c>
    </row>
    <row r="23" spans="1:4" x14ac:dyDescent="0.25">
      <c r="A23" s="2">
        <v>46053</v>
      </c>
      <c r="B23" t="s">
        <v>39</v>
      </c>
      <c r="C23" t="s">
        <v>83</v>
      </c>
      <c r="D23" s="55">
        <v>1788</v>
      </c>
    </row>
    <row r="24" spans="1:4" x14ac:dyDescent="0.25">
      <c r="A24" s="2">
        <v>46056</v>
      </c>
      <c r="B24" t="s">
        <v>37</v>
      </c>
      <c r="C24" t="s">
        <v>81</v>
      </c>
      <c r="D24" s="55">
        <v>826</v>
      </c>
    </row>
    <row r="25" spans="1:4" x14ac:dyDescent="0.25">
      <c r="A25" s="2">
        <v>46056</v>
      </c>
      <c r="B25" t="s">
        <v>38</v>
      </c>
      <c r="C25" t="s">
        <v>82</v>
      </c>
      <c r="D25" s="55">
        <v>1661</v>
      </c>
    </row>
    <row r="26" spans="1:4" x14ac:dyDescent="0.25">
      <c r="A26" s="2">
        <v>46056</v>
      </c>
      <c r="B26" t="s">
        <v>39</v>
      </c>
      <c r="C26" t="s">
        <v>83</v>
      </c>
      <c r="D26" s="55">
        <v>1899</v>
      </c>
    </row>
    <row r="27" spans="1:4" x14ac:dyDescent="0.25">
      <c r="A27" s="2">
        <v>46059</v>
      </c>
      <c r="B27" t="s">
        <v>37</v>
      </c>
      <c r="C27" t="s">
        <v>81</v>
      </c>
      <c r="D27" s="55">
        <v>2258</v>
      </c>
    </row>
    <row r="28" spans="1:4" x14ac:dyDescent="0.25">
      <c r="A28" s="2">
        <v>46059</v>
      </c>
      <c r="B28" t="s">
        <v>38</v>
      </c>
      <c r="C28" t="s">
        <v>82</v>
      </c>
      <c r="D28" s="55">
        <v>752</v>
      </c>
    </row>
    <row r="29" spans="1:4" x14ac:dyDescent="0.25">
      <c r="A29" s="2">
        <v>46059</v>
      </c>
      <c r="B29" t="s">
        <v>39</v>
      </c>
      <c r="C29" t="s">
        <v>83</v>
      </c>
      <c r="D29" s="55">
        <v>1483</v>
      </c>
    </row>
    <row r="30" spans="1:4" x14ac:dyDescent="0.25">
      <c r="A30" s="2">
        <v>46062</v>
      </c>
      <c r="B30" t="s">
        <v>37</v>
      </c>
      <c r="C30" t="s">
        <v>81</v>
      </c>
      <c r="D30" s="55">
        <v>277</v>
      </c>
    </row>
    <row r="31" spans="1:4" x14ac:dyDescent="0.25">
      <c r="A31" s="2">
        <v>46062</v>
      </c>
      <c r="B31" t="s">
        <v>38</v>
      </c>
      <c r="C31" t="s">
        <v>82</v>
      </c>
      <c r="D31" s="55">
        <v>845</v>
      </c>
    </row>
    <row r="32" spans="1:4" x14ac:dyDescent="0.25">
      <c r="A32" s="2">
        <v>46062</v>
      </c>
      <c r="B32" t="s">
        <v>40</v>
      </c>
      <c r="C32" t="s">
        <v>84</v>
      </c>
      <c r="D32" s="55">
        <v>818</v>
      </c>
    </row>
    <row r="33" spans="1:4" x14ac:dyDescent="0.25">
      <c r="A33" s="2">
        <v>46065</v>
      </c>
      <c r="B33" t="s">
        <v>37</v>
      </c>
      <c r="C33" t="s">
        <v>81</v>
      </c>
      <c r="D33" s="55">
        <v>624</v>
      </c>
    </row>
    <row r="34" spans="1:4" x14ac:dyDescent="0.25">
      <c r="A34" s="2">
        <v>46065</v>
      </c>
      <c r="B34" t="s">
        <v>39</v>
      </c>
      <c r="C34" t="s">
        <v>83</v>
      </c>
      <c r="D34" s="55">
        <v>511</v>
      </c>
    </row>
    <row r="35" spans="1:4" x14ac:dyDescent="0.25">
      <c r="A35" s="2">
        <v>46065</v>
      </c>
      <c r="B35" t="s">
        <v>40</v>
      </c>
      <c r="C35" t="s">
        <v>84</v>
      </c>
      <c r="D35" s="55">
        <v>2166</v>
      </c>
    </row>
    <row r="36" spans="1:4" x14ac:dyDescent="0.25">
      <c r="A36" s="2">
        <v>46068</v>
      </c>
      <c r="B36" t="s">
        <v>37</v>
      </c>
      <c r="C36" t="s">
        <v>81</v>
      </c>
      <c r="D36" s="55">
        <v>1184</v>
      </c>
    </row>
    <row r="37" spans="1:4" x14ac:dyDescent="0.25">
      <c r="A37" s="2">
        <v>46068</v>
      </c>
      <c r="B37" t="s">
        <v>40</v>
      </c>
      <c r="C37" t="s">
        <v>84</v>
      </c>
      <c r="D37" s="55">
        <v>289</v>
      </c>
    </row>
    <row r="38" spans="1:4" x14ac:dyDescent="0.25">
      <c r="A38" s="2">
        <v>46071</v>
      </c>
      <c r="B38" t="s">
        <v>38</v>
      </c>
      <c r="C38" t="s">
        <v>82</v>
      </c>
      <c r="D38" s="55">
        <v>473</v>
      </c>
    </row>
    <row r="39" spans="1:4" x14ac:dyDescent="0.25">
      <c r="A39" s="2">
        <v>46074</v>
      </c>
      <c r="B39" t="s">
        <v>38</v>
      </c>
      <c r="C39" t="s">
        <v>82</v>
      </c>
      <c r="D39" s="55">
        <v>2068</v>
      </c>
    </row>
    <row r="40" spans="1:4" x14ac:dyDescent="0.25">
      <c r="A40" s="2">
        <v>46074</v>
      </c>
      <c r="B40" t="s">
        <v>39</v>
      </c>
      <c r="C40" t="s">
        <v>83</v>
      </c>
      <c r="D40" s="55">
        <v>282</v>
      </c>
    </row>
    <row r="41" spans="1:4" x14ac:dyDescent="0.25">
      <c r="A41" s="2">
        <v>46074</v>
      </c>
      <c r="B41" t="s">
        <v>40</v>
      </c>
      <c r="C41" t="s">
        <v>84</v>
      </c>
      <c r="D41" s="55">
        <v>721</v>
      </c>
    </row>
    <row r="42" spans="1:4" x14ac:dyDescent="0.25">
      <c r="A42" s="2">
        <v>46077</v>
      </c>
      <c r="B42" t="s">
        <v>40</v>
      </c>
      <c r="C42" t="s">
        <v>84</v>
      </c>
      <c r="D42" s="55">
        <v>333</v>
      </c>
    </row>
    <row r="43" spans="1:4" x14ac:dyDescent="0.25">
      <c r="A43" s="2">
        <v>46080</v>
      </c>
      <c r="B43" t="s">
        <v>38</v>
      </c>
      <c r="C43" t="s">
        <v>82</v>
      </c>
      <c r="D43" s="55">
        <v>503</v>
      </c>
    </row>
    <row r="44" spans="1:4" x14ac:dyDescent="0.25">
      <c r="A44" s="2">
        <v>46080</v>
      </c>
      <c r="B44" t="s">
        <v>40</v>
      </c>
      <c r="C44" t="s">
        <v>84</v>
      </c>
      <c r="D44" s="55">
        <v>2013</v>
      </c>
    </row>
    <row r="45" spans="1:4" x14ac:dyDescent="0.25">
      <c r="A45" s="2">
        <v>46083</v>
      </c>
      <c r="B45" t="s">
        <v>38</v>
      </c>
      <c r="C45" t="s">
        <v>82</v>
      </c>
      <c r="D45" s="55">
        <v>1151</v>
      </c>
    </row>
    <row r="46" spans="1:4" x14ac:dyDescent="0.25">
      <c r="A46" s="2">
        <v>46086</v>
      </c>
      <c r="B46" t="s">
        <v>38</v>
      </c>
      <c r="C46" t="s">
        <v>82</v>
      </c>
      <c r="D46" s="55">
        <v>501</v>
      </c>
    </row>
    <row r="47" spans="1:4" x14ac:dyDescent="0.25">
      <c r="A47" s="2">
        <v>46089</v>
      </c>
      <c r="B47" t="s">
        <v>38</v>
      </c>
      <c r="C47" t="s">
        <v>82</v>
      </c>
      <c r="D47" s="55">
        <v>1567</v>
      </c>
    </row>
    <row r="48" spans="1:4" x14ac:dyDescent="0.25">
      <c r="A48" s="2">
        <v>46092</v>
      </c>
      <c r="B48" t="s">
        <v>37</v>
      </c>
      <c r="C48" t="s">
        <v>81</v>
      </c>
      <c r="D48" s="55">
        <v>2027</v>
      </c>
    </row>
    <row r="49" spans="1:4" x14ac:dyDescent="0.25">
      <c r="A49" s="2">
        <v>46092</v>
      </c>
      <c r="B49" t="s">
        <v>39</v>
      </c>
      <c r="C49" t="s">
        <v>83</v>
      </c>
      <c r="D49" s="55">
        <v>1737</v>
      </c>
    </row>
    <row r="50" spans="1:4" x14ac:dyDescent="0.25">
      <c r="A50" s="2">
        <v>46092</v>
      </c>
      <c r="B50" t="s">
        <v>40</v>
      </c>
      <c r="C50" t="s">
        <v>84</v>
      </c>
      <c r="D50" s="55">
        <v>1039</v>
      </c>
    </row>
    <row r="51" spans="1:4" x14ac:dyDescent="0.25">
      <c r="A51" s="2">
        <v>46095</v>
      </c>
      <c r="B51" t="s">
        <v>38</v>
      </c>
      <c r="C51" t="s">
        <v>82</v>
      </c>
      <c r="D51" s="55">
        <v>287</v>
      </c>
    </row>
    <row r="52" spans="1:4" x14ac:dyDescent="0.25">
      <c r="A52" s="2">
        <v>46098</v>
      </c>
      <c r="B52" t="s">
        <v>37</v>
      </c>
      <c r="C52" t="s">
        <v>81</v>
      </c>
      <c r="D52" s="55">
        <v>1325</v>
      </c>
    </row>
    <row r="53" spans="1:4" x14ac:dyDescent="0.25">
      <c r="A53" s="2">
        <v>46098</v>
      </c>
      <c r="B53" t="s">
        <v>38</v>
      </c>
      <c r="C53" t="s">
        <v>82</v>
      </c>
      <c r="D53" s="55">
        <v>2062</v>
      </c>
    </row>
    <row r="54" spans="1:4" x14ac:dyDescent="0.25">
      <c r="A54" s="2">
        <v>46098</v>
      </c>
      <c r="B54" t="s">
        <v>39</v>
      </c>
      <c r="C54" t="s">
        <v>83</v>
      </c>
      <c r="D54" s="55">
        <v>1166</v>
      </c>
    </row>
    <row r="55" spans="1:4" x14ac:dyDescent="0.25">
      <c r="A55" s="2">
        <v>46098</v>
      </c>
      <c r="B55" t="s">
        <v>40</v>
      </c>
      <c r="C55" t="s">
        <v>84</v>
      </c>
      <c r="D55" s="55">
        <v>2013</v>
      </c>
    </row>
    <row r="56" spans="1:4" x14ac:dyDescent="0.25">
      <c r="A56" s="2">
        <v>46101</v>
      </c>
      <c r="B56" t="s">
        <v>38</v>
      </c>
      <c r="C56" t="s">
        <v>82</v>
      </c>
      <c r="D56" s="55">
        <v>36</v>
      </c>
    </row>
    <row r="57" spans="1:4" x14ac:dyDescent="0.25">
      <c r="A57" s="2">
        <v>46101</v>
      </c>
      <c r="B57" t="s">
        <v>39</v>
      </c>
      <c r="C57" t="s">
        <v>83</v>
      </c>
      <c r="D57" s="55">
        <v>1875</v>
      </c>
    </row>
    <row r="58" spans="1:4" x14ac:dyDescent="0.25">
      <c r="A58" s="2">
        <v>46104</v>
      </c>
      <c r="B58" t="s">
        <v>37</v>
      </c>
      <c r="C58" t="s">
        <v>81</v>
      </c>
      <c r="D58" s="55">
        <v>2209</v>
      </c>
    </row>
    <row r="59" spans="1:4" x14ac:dyDescent="0.25">
      <c r="A59" s="2">
        <v>46104</v>
      </c>
      <c r="B59" t="s">
        <v>38</v>
      </c>
      <c r="C59" t="s">
        <v>82</v>
      </c>
      <c r="D59" s="55">
        <v>1474</v>
      </c>
    </row>
    <row r="60" spans="1:4" x14ac:dyDescent="0.25">
      <c r="A60" s="2">
        <v>46104</v>
      </c>
      <c r="B60" t="s">
        <v>39</v>
      </c>
      <c r="C60" t="s">
        <v>83</v>
      </c>
      <c r="D60" s="55">
        <v>57</v>
      </c>
    </row>
    <row r="61" spans="1:4" x14ac:dyDescent="0.25">
      <c r="A61" s="2">
        <v>46107</v>
      </c>
      <c r="B61" t="s">
        <v>38</v>
      </c>
      <c r="C61" t="s">
        <v>82</v>
      </c>
      <c r="D61" s="55">
        <v>2278</v>
      </c>
    </row>
    <row r="62" spans="1:4" x14ac:dyDescent="0.25">
      <c r="A62" s="2">
        <v>46107</v>
      </c>
      <c r="B62" t="s">
        <v>40</v>
      </c>
      <c r="C62" t="s">
        <v>84</v>
      </c>
      <c r="D62" s="55">
        <v>2120</v>
      </c>
    </row>
    <row r="63" spans="1:4" x14ac:dyDescent="0.25">
      <c r="A63" s="2">
        <v>46110</v>
      </c>
      <c r="B63" t="s">
        <v>37</v>
      </c>
      <c r="C63" t="s">
        <v>81</v>
      </c>
      <c r="D63" s="55">
        <v>1081</v>
      </c>
    </row>
    <row r="64" spans="1:4" x14ac:dyDescent="0.25">
      <c r="A64" s="2">
        <v>46110</v>
      </c>
      <c r="B64" t="s">
        <v>38</v>
      </c>
      <c r="C64" t="s">
        <v>82</v>
      </c>
      <c r="D64" s="55">
        <v>671</v>
      </c>
    </row>
    <row r="65" spans="1:4" x14ac:dyDescent="0.25">
      <c r="A65" s="2">
        <v>46110</v>
      </c>
      <c r="B65" t="s">
        <v>39</v>
      </c>
      <c r="C65" t="s">
        <v>83</v>
      </c>
      <c r="D65" s="55">
        <v>2108</v>
      </c>
    </row>
    <row r="66" spans="1:4" x14ac:dyDescent="0.25">
      <c r="A66" s="2">
        <v>46110</v>
      </c>
      <c r="B66" t="s">
        <v>40</v>
      </c>
      <c r="C66" t="s">
        <v>84</v>
      </c>
      <c r="D66" s="55">
        <v>2067</v>
      </c>
    </row>
    <row r="67" spans="1:4" x14ac:dyDescent="0.25">
      <c r="A67" s="2">
        <v>46113</v>
      </c>
      <c r="B67" t="s">
        <v>39</v>
      </c>
      <c r="C67" t="s">
        <v>83</v>
      </c>
      <c r="D67" s="55">
        <v>1681</v>
      </c>
    </row>
    <row r="68" spans="1:4" x14ac:dyDescent="0.25">
      <c r="A68" s="2">
        <v>46113</v>
      </c>
      <c r="B68" t="s">
        <v>40</v>
      </c>
      <c r="C68" t="s">
        <v>84</v>
      </c>
      <c r="D68" s="55">
        <v>337</v>
      </c>
    </row>
    <row r="69" spans="1:4" x14ac:dyDescent="0.25">
      <c r="A69" s="2">
        <v>46116</v>
      </c>
      <c r="B69" t="s">
        <v>37</v>
      </c>
      <c r="C69" t="s">
        <v>81</v>
      </c>
      <c r="D69" s="55">
        <v>2176</v>
      </c>
    </row>
    <row r="70" spans="1:4" x14ac:dyDescent="0.25">
      <c r="A70" s="2">
        <v>46116</v>
      </c>
      <c r="B70" t="s">
        <v>38</v>
      </c>
      <c r="C70" t="s">
        <v>82</v>
      </c>
      <c r="D70" s="55">
        <v>682</v>
      </c>
    </row>
    <row r="71" spans="1:4" x14ac:dyDescent="0.25">
      <c r="A71" s="2">
        <v>46116</v>
      </c>
      <c r="B71" t="s">
        <v>39</v>
      </c>
      <c r="C71" t="s">
        <v>83</v>
      </c>
      <c r="D71" s="55">
        <v>1575</v>
      </c>
    </row>
    <row r="72" spans="1:4" x14ac:dyDescent="0.25">
      <c r="A72" s="2">
        <v>46116</v>
      </c>
      <c r="B72" t="s">
        <v>40</v>
      </c>
      <c r="C72" t="s">
        <v>84</v>
      </c>
      <c r="D72" s="55">
        <v>242</v>
      </c>
    </row>
    <row r="73" spans="1:4" x14ac:dyDescent="0.25">
      <c r="A73" s="2">
        <v>46119</v>
      </c>
      <c r="B73" t="s">
        <v>37</v>
      </c>
      <c r="C73" t="s">
        <v>81</v>
      </c>
      <c r="D73" s="55">
        <v>646</v>
      </c>
    </row>
    <row r="74" spans="1:4" x14ac:dyDescent="0.25">
      <c r="A74" s="2">
        <v>46119</v>
      </c>
      <c r="B74" t="s">
        <v>38</v>
      </c>
      <c r="C74" t="s">
        <v>82</v>
      </c>
      <c r="D74" s="55">
        <v>1502</v>
      </c>
    </row>
    <row r="75" spans="1:4" x14ac:dyDescent="0.25">
      <c r="A75" s="2">
        <v>46122</v>
      </c>
      <c r="B75" t="s">
        <v>37</v>
      </c>
      <c r="C75" t="s">
        <v>81</v>
      </c>
      <c r="D75" s="55">
        <v>109</v>
      </c>
    </row>
    <row r="76" spans="1:4" x14ac:dyDescent="0.25">
      <c r="A76" s="2">
        <v>46122</v>
      </c>
      <c r="B76" t="s">
        <v>38</v>
      </c>
      <c r="C76" t="s">
        <v>82</v>
      </c>
      <c r="D76" s="55">
        <v>2095</v>
      </c>
    </row>
    <row r="77" spans="1:4" x14ac:dyDescent="0.25">
      <c r="A77" s="2">
        <v>46125</v>
      </c>
      <c r="B77" t="s">
        <v>38</v>
      </c>
      <c r="C77" t="s">
        <v>82</v>
      </c>
      <c r="D77" s="55">
        <v>292</v>
      </c>
    </row>
    <row r="78" spans="1:4" x14ac:dyDescent="0.25">
      <c r="A78" s="2">
        <v>46125</v>
      </c>
      <c r="B78" t="s">
        <v>40</v>
      </c>
      <c r="C78" t="s">
        <v>84</v>
      </c>
      <c r="D78" s="55">
        <v>1261</v>
      </c>
    </row>
    <row r="79" spans="1:4" x14ac:dyDescent="0.25">
      <c r="A79" s="2">
        <v>46128</v>
      </c>
      <c r="B79" t="s">
        <v>39</v>
      </c>
      <c r="C79" t="s">
        <v>83</v>
      </c>
      <c r="D79" s="55">
        <v>2172</v>
      </c>
    </row>
    <row r="80" spans="1:4" x14ac:dyDescent="0.25">
      <c r="A80" s="2">
        <v>46131</v>
      </c>
      <c r="B80" t="s">
        <v>37</v>
      </c>
      <c r="C80" t="s">
        <v>81</v>
      </c>
      <c r="D80" s="55">
        <v>234</v>
      </c>
    </row>
    <row r="81" spans="1:4" x14ac:dyDescent="0.25">
      <c r="A81" s="2">
        <v>46134</v>
      </c>
      <c r="B81" t="s">
        <v>37</v>
      </c>
      <c r="C81" t="s">
        <v>81</v>
      </c>
      <c r="D81" s="55">
        <v>1172</v>
      </c>
    </row>
    <row r="82" spans="1:4" x14ac:dyDescent="0.25">
      <c r="A82" s="2">
        <v>46134</v>
      </c>
      <c r="B82" t="s">
        <v>38</v>
      </c>
      <c r="C82" t="s">
        <v>82</v>
      </c>
      <c r="D82" s="55">
        <v>1013</v>
      </c>
    </row>
    <row r="83" spans="1:4" x14ac:dyDescent="0.25">
      <c r="A83" s="2">
        <v>46134</v>
      </c>
      <c r="B83" t="s">
        <v>39</v>
      </c>
      <c r="C83" t="s">
        <v>83</v>
      </c>
      <c r="D83" s="55">
        <v>1308</v>
      </c>
    </row>
    <row r="84" spans="1:4" x14ac:dyDescent="0.25">
      <c r="A84" s="2">
        <v>46134</v>
      </c>
      <c r="B84" t="s">
        <v>40</v>
      </c>
      <c r="C84" t="s">
        <v>84</v>
      </c>
      <c r="D84" s="55">
        <v>117</v>
      </c>
    </row>
    <row r="85" spans="1:4" x14ac:dyDescent="0.25">
      <c r="A85" s="2">
        <v>46137</v>
      </c>
      <c r="B85" t="s">
        <v>38</v>
      </c>
      <c r="C85" t="s">
        <v>82</v>
      </c>
      <c r="D85" s="55">
        <v>1843</v>
      </c>
    </row>
    <row r="86" spans="1:4" x14ac:dyDescent="0.25">
      <c r="A86" s="2">
        <v>46140</v>
      </c>
      <c r="B86" t="s">
        <v>37</v>
      </c>
      <c r="C86" t="s">
        <v>81</v>
      </c>
      <c r="D86" s="55">
        <v>1185</v>
      </c>
    </row>
    <row r="87" spans="1:4" x14ac:dyDescent="0.25">
      <c r="A87" s="2">
        <v>46140</v>
      </c>
      <c r="B87" t="s">
        <v>38</v>
      </c>
      <c r="C87" t="s">
        <v>82</v>
      </c>
      <c r="D87" s="55">
        <v>1470</v>
      </c>
    </row>
    <row r="88" spans="1:4" x14ac:dyDescent="0.25">
      <c r="A88" s="2">
        <v>46140</v>
      </c>
      <c r="B88" t="s">
        <v>39</v>
      </c>
      <c r="C88" t="s">
        <v>83</v>
      </c>
      <c r="D88" s="55">
        <v>1672</v>
      </c>
    </row>
    <row r="89" spans="1:4" x14ac:dyDescent="0.25">
      <c r="A89" s="2">
        <v>46140</v>
      </c>
      <c r="B89" t="s">
        <v>40</v>
      </c>
      <c r="C89" t="s">
        <v>84</v>
      </c>
      <c r="D89" s="55">
        <v>2236</v>
      </c>
    </row>
    <row r="90" spans="1:4" x14ac:dyDescent="0.25">
      <c r="A90" s="2">
        <v>46143</v>
      </c>
      <c r="B90" t="s">
        <v>37</v>
      </c>
      <c r="C90" t="s">
        <v>81</v>
      </c>
      <c r="D90" s="55">
        <v>1554</v>
      </c>
    </row>
    <row r="91" spans="1:4" x14ac:dyDescent="0.25">
      <c r="A91" s="2">
        <v>46143</v>
      </c>
      <c r="B91" t="s">
        <v>39</v>
      </c>
      <c r="C91" t="s">
        <v>83</v>
      </c>
      <c r="D91" s="55">
        <v>1166</v>
      </c>
    </row>
    <row r="92" spans="1:4" x14ac:dyDescent="0.25">
      <c r="A92" s="2">
        <v>46143</v>
      </c>
      <c r="B92" t="s">
        <v>40</v>
      </c>
      <c r="C92" t="s">
        <v>84</v>
      </c>
      <c r="D92" s="55">
        <v>911</v>
      </c>
    </row>
    <row r="93" spans="1:4" x14ac:dyDescent="0.25">
      <c r="A93" s="2">
        <v>46146</v>
      </c>
      <c r="B93" t="s">
        <v>37</v>
      </c>
      <c r="C93" t="s">
        <v>81</v>
      </c>
      <c r="D93" s="55">
        <v>998</v>
      </c>
    </row>
    <row r="94" spans="1:4" x14ac:dyDescent="0.25">
      <c r="A94" s="2">
        <v>46146</v>
      </c>
      <c r="B94" t="s">
        <v>40</v>
      </c>
      <c r="C94" t="s">
        <v>84</v>
      </c>
      <c r="D94" s="55">
        <v>1073</v>
      </c>
    </row>
    <row r="95" spans="1:4" x14ac:dyDescent="0.25">
      <c r="A95" s="2">
        <v>46149</v>
      </c>
      <c r="B95" t="s">
        <v>39</v>
      </c>
      <c r="C95" t="s">
        <v>83</v>
      </c>
      <c r="D95" s="55">
        <v>1989</v>
      </c>
    </row>
    <row r="96" spans="1:4" x14ac:dyDescent="0.25">
      <c r="A96" s="2">
        <v>46149</v>
      </c>
      <c r="B96" t="s">
        <v>40</v>
      </c>
      <c r="C96" t="s">
        <v>84</v>
      </c>
      <c r="D96" s="55">
        <v>701</v>
      </c>
    </row>
    <row r="97" spans="1:4" x14ac:dyDescent="0.25">
      <c r="A97" s="2">
        <v>46152</v>
      </c>
      <c r="B97" t="s">
        <v>37</v>
      </c>
      <c r="C97" t="s">
        <v>81</v>
      </c>
      <c r="D97" s="55">
        <v>303</v>
      </c>
    </row>
    <row r="98" spans="1:4" x14ac:dyDescent="0.25">
      <c r="A98" s="2">
        <v>46152</v>
      </c>
      <c r="B98" t="s">
        <v>39</v>
      </c>
      <c r="C98" t="s">
        <v>83</v>
      </c>
      <c r="D98" s="55">
        <v>561</v>
      </c>
    </row>
    <row r="99" spans="1:4" x14ac:dyDescent="0.25">
      <c r="A99" s="2">
        <v>46155</v>
      </c>
      <c r="B99" t="s">
        <v>38</v>
      </c>
      <c r="C99" t="s">
        <v>82</v>
      </c>
      <c r="D99" s="55">
        <v>2226</v>
      </c>
    </row>
    <row r="100" spans="1:4" x14ac:dyDescent="0.25">
      <c r="A100" s="2">
        <v>46155</v>
      </c>
      <c r="B100" t="s">
        <v>39</v>
      </c>
      <c r="C100" t="s">
        <v>83</v>
      </c>
      <c r="D100" s="55">
        <v>1899</v>
      </c>
    </row>
    <row r="101" spans="1:4" x14ac:dyDescent="0.25">
      <c r="A101" s="2">
        <v>46158</v>
      </c>
      <c r="B101" t="s">
        <v>38</v>
      </c>
      <c r="C101" t="s">
        <v>82</v>
      </c>
      <c r="D101" s="55">
        <v>1191</v>
      </c>
    </row>
    <row r="102" spans="1:4" x14ac:dyDescent="0.25">
      <c r="A102" s="2">
        <v>46161</v>
      </c>
      <c r="B102" t="s">
        <v>37</v>
      </c>
      <c r="C102" t="s">
        <v>81</v>
      </c>
      <c r="D102" s="55">
        <v>1876</v>
      </c>
    </row>
    <row r="103" spans="1:4" x14ac:dyDescent="0.25">
      <c r="A103" s="2">
        <v>46161</v>
      </c>
      <c r="B103" t="s">
        <v>39</v>
      </c>
      <c r="C103" t="s">
        <v>83</v>
      </c>
      <c r="D103" s="55">
        <v>2327</v>
      </c>
    </row>
    <row r="104" spans="1:4" x14ac:dyDescent="0.25">
      <c r="A104" s="2">
        <v>46161</v>
      </c>
      <c r="B104" t="s">
        <v>40</v>
      </c>
      <c r="C104" t="s">
        <v>84</v>
      </c>
      <c r="D104" s="55">
        <v>1115</v>
      </c>
    </row>
    <row r="105" spans="1:4" x14ac:dyDescent="0.25">
      <c r="A105" s="2">
        <v>46163</v>
      </c>
      <c r="B105" t="s">
        <v>38</v>
      </c>
      <c r="C105" t="s">
        <v>82</v>
      </c>
      <c r="D105" s="55">
        <v>681</v>
      </c>
    </row>
    <row r="106" spans="1:4" x14ac:dyDescent="0.25">
      <c r="A106" s="2">
        <v>46163</v>
      </c>
      <c r="B106" t="s">
        <v>40</v>
      </c>
      <c r="C106" t="s">
        <v>84</v>
      </c>
      <c r="D106" s="55">
        <v>1000</v>
      </c>
    </row>
    <row r="107" spans="1:4" x14ac:dyDescent="0.25">
      <c r="A107" s="2">
        <v>46164</v>
      </c>
      <c r="B107" t="s">
        <v>38</v>
      </c>
      <c r="C107" t="s">
        <v>82</v>
      </c>
      <c r="D107" s="55">
        <v>1401</v>
      </c>
    </row>
    <row r="108" spans="1:4" x14ac:dyDescent="0.25">
      <c r="A108" s="2">
        <v>46164</v>
      </c>
      <c r="B108" t="s">
        <v>40</v>
      </c>
      <c r="C108" t="s">
        <v>84</v>
      </c>
      <c r="D108" s="55">
        <v>736</v>
      </c>
    </row>
    <row r="109" spans="1:4" x14ac:dyDescent="0.25">
      <c r="A109" s="2">
        <v>46165</v>
      </c>
      <c r="B109" t="s">
        <v>39</v>
      </c>
      <c r="C109" t="s">
        <v>83</v>
      </c>
      <c r="D109" s="55">
        <v>1761</v>
      </c>
    </row>
    <row r="110" spans="1:4" x14ac:dyDescent="0.25">
      <c r="A110" s="2">
        <v>46165</v>
      </c>
      <c r="B110" t="s">
        <v>40</v>
      </c>
      <c r="C110" t="s">
        <v>84</v>
      </c>
      <c r="D110" s="55">
        <v>872</v>
      </c>
    </row>
    <row r="111" spans="1:4" x14ac:dyDescent="0.25">
      <c r="A111" s="2">
        <v>46166</v>
      </c>
      <c r="B111" t="s">
        <v>38</v>
      </c>
      <c r="C111" t="s">
        <v>82</v>
      </c>
      <c r="D111" s="55">
        <v>2190</v>
      </c>
    </row>
    <row r="112" spans="1:4" x14ac:dyDescent="0.25">
      <c r="A112" s="2">
        <v>46166</v>
      </c>
      <c r="B112" t="s">
        <v>39</v>
      </c>
      <c r="C112" t="s">
        <v>83</v>
      </c>
      <c r="D112" s="55">
        <v>1212</v>
      </c>
    </row>
    <row r="113" spans="1:4" x14ac:dyDescent="0.25">
      <c r="A113" s="2">
        <v>46167</v>
      </c>
      <c r="B113" t="s">
        <v>38</v>
      </c>
      <c r="C113" t="s">
        <v>82</v>
      </c>
      <c r="D113" s="55">
        <v>2288</v>
      </c>
    </row>
    <row r="114" spans="1:4" x14ac:dyDescent="0.25">
      <c r="A114" s="2">
        <v>46167</v>
      </c>
      <c r="B114" t="s">
        <v>39</v>
      </c>
      <c r="C114" t="s">
        <v>83</v>
      </c>
      <c r="D114" s="55">
        <v>1905</v>
      </c>
    </row>
    <row r="115" spans="1:4" x14ac:dyDescent="0.25">
      <c r="A115" s="2">
        <v>46168</v>
      </c>
      <c r="B115" t="s">
        <v>37</v>
      </c>
      <c r="C115" t="s">
        <v>81</v>
      </c>
      <c r="D115" s="55">
        <v>525</v>
      </c>
    </row>
    <row r="116" spans="1:4" x14ac:dyDescent="0.25">
      <c r="A116" s="2">
        <v>46168</v>
      </c>
      <c r="B116" t="s">
        <v>39</v>
      </c>
      <c r="C116" t="s">
        <v>83</v>
      </c>
      <c r="D116" s="55">
        <v>1722</v>
      </c>
    </row>
    <row r="117" spans="1:4" x14ac:dyDescent="0.25">
      <c r="A117" s="2">
        <v>46168</v>
      </c>
      <c r="B117" t="s">
        <v>40</v>
      </c>
      <c r="C117" t="s">
        <v>84</v>
      </c>
      <c r="D117" s="55">
        <v>585</v>
      </c>
    </row>
    <row r="118" spans="1:4" x14ac:dyDescent="0.25">
      <c r="A118" s="2">
        <v>46169</v>
      </c>
      <c r="B118" t="s">
        <v>37</v>
      </c>
      <c r="C118" t="s">
        <v>81</v>
      </c>
      <c r="D118" s="55">
        <v>2497</v>
      </c>
    </row>
    <row r="119" spans="1:4" x14ac:dyDescent="0.25">
      <c r="A119" s="2">
        <v>46169</v>
      </c>
      <c r="B119" t="s">
        <v>38</v>
      </c>
      <c r="C119" t="s">
        <v>82</v>
      </c>
      <c r="D119" s="55">
        <v>465</v>
      </c>
    </row>
    <row r="120" spans="1:4" x14ac:dyDescent="0.25">
      <c r="A120" s="2">
        <v>46169</v>
      </c>
      <c r="B120" t="s">
        <v>39</v>
      </c>
      <c r="C120" t="s">
        <v>83</v>
      </c>
      <c r="D120" s="55">
        <v>2104</v>
      </c>
    </row>
    <row r="121" spans="1:4" x14ac:dyDescent="0.25">
      <c r="A121" s="2">
        <v>46170</v>
      </c>
      <c r="B121" t="s">
        <v>37</v>
      </c>
      <c r="C121" t="s">
        <v>81</v>
      </c>
      <c r="D121" s="55">
        <v>553</v>
      </c>
    </row>
    <row r="122" spans="1:4" x14ac:dyDescent="0.25">
      <c r="A122" s="2">
        <v>46170</v>
      </c>
      <c r="B122" t="s">
        <v>38</v>
      </c>
      <c r="C122" t="s">
        <v>82</v>
      </c>
      <c r="D122" s="55">
        <v>2088</v>
      </c>
    </row>
    <row r="123" spans="1:4" x14ac:dyDescent="0.25">
      <c r="A123" s="2">
        <v>46170</v>
      </c>
      <c r="B123" t="s">
        <v>40</v>
      </c>
      <c r="C123" t="s">
        <v>84</v>
      </c>
      <c r="D123" s="55">
        <v>56</v>
      </c>
    </row>
    <row r="124" spans="1:4" x14ac:dyDescent="0.25">
      <c r="A124" s="2">
        <v>46171</v>
      </c>
      <c r="B124" t="s">
        <v>37</v>
      </c>
      <c r="C124" t="s">
        <v>81</v>
      </c>
      <c r="D124" s="55">
        <v>1394</v>
      </c>
    </row>
    <row r="125" spans="1:4" x14ac:dyDescent="0.25">
      <c r="A125" s="2">
        <v>46171</v>
      </c>
      <c r="B125" t="s">
        <v>38</v>
      </c>
      <c r="C125" t="s">
        <v>82</v>
      </c>
      <c r="D125" s="55">
        <v>689</v>
      </c>
    </row>
    <row r="126" spans="1:4" x14ac:dyDescent="0.25">
      <c r="A126" s="2">
        <v>46171</v>
      </c>
      <c r="B126" t="s">
        <v>39</v>
      </c>
      <c r="C126" t="s">
        <v>83</v>
      </c>
      <c r="D126" s="55">
        <v>677</v>
      </c>
    </row>
    <row r="127" spans="1:4" x14ac:dyDescent="0.25">
      <c r="A127" s="2">
        <v>46172</v>
      </c>
      <c r="B127" t="s">
        <v>37</v>
      </c>
      <c r="C127" t="s">
        <v>81</v>
      </c>
      <c r="D127" s="55">
        <v>515</v>
      </c>
    </row>
    <row r="128" spans="1:4" x14ac:dyDescent="0.25">
      <c r="A128" s="2">
        <v>46172</v>
      </c>
      <c r="B128" t="s">
        <v>38</v>
      </c>
      <c r="C128" t="s">
        <v>82</v>
      </c>
      <c r="D128" s="55">
        <v>739</v>
      </c>
    </row>
    <row r="129" spans="1:4" x14ac:dyDescent="0.25">
      <c r="A129" s="2">
        <v>46173</v>
      </c>
      <c r="B129" t="s">
        <v>39</v>
      </c>
      <c r="C129" t="s">
        <v>83</v>
      </c>
      <c r="D129" s="55">
        <v>1353</v>
      </c>
    </row>
    <row r="130" spans="1:4" x14ac:dyDescent="0.25">
      <c r="A130" s="2">
        <v>46174</v>
      </c>
      <c r="B130" t="s">
        <v>38</v>
      </c>
      <c r="C130" t="s">
        <v>82</v>
      </c>
      <c r="D130" s="55">
        <v>756</v>
      </c>
    </row>
    <row r="131" spans="1:4" x14ac:dyDescent="0.25">
      <c r="A131" s="2">
        <v>46175</v>
      </c>
      <c r="B131" t="s">
        <v>38</v>
      </c>
      <c r="C131" t="s">
        <v>82</v>
      </c>
      <c r="D131" s="55">
        <v>60</v>
      </c>
    </row>
    <row r="132" spans="1:4" x14ac:dyDescent="0.25">
      <c r="A132" s="2">
        <v>46175</v>
      </c>
      <c r="B132" t="s">
        <v>40</v>
      </c>
      <c r="C132" t="s">
        <v>84</v>
      </c>
      <c r="D132" s="55">
        <v>1710</v>
      </c>
    </row>
    <row r="133" spans="1:4" x14ac:dyDescent="0.25">
      <c r="A133" s="2">
        <v>46176</v>
      </c>
      <c r="B133" t="s">
        <v>38</v>
      </c>
      <c r="C133" t="s">
        <v>82</v>
      </c>
      <c r="D133" s="55">
        <v>1783</v>
      </c>
    </row>
    <row r="134" spans="1:4" x14ac:dyDescent="0.25">
      <c r="A134" s="2">
        <v>46176</v>
      </c>
      <c r="B134" t="s">
        <v>40</v>
      </c>
      <c r="C134" t="s">
        <v>84</v>
      </c>
      <c r="D134" s="55">
        <v>1689</v>
      </c>
    </row>
    <row r="135" spans="1:4" x14ac:dyDescent="0.25">
      <c r="A135" s="2">
        <v>46177</v>
      </c>
      <c r="B135" t="s">
        <v>37</v>
      </c>
      <c r="C135" t="s">
        <v>81</v>
      </c>
      <c r="D135" s="55">
        <v>2352</v>
      </c>
    </row>
    <row r="136" spans="1:4" x14ac:dyDescent="0.25">
      <c r="A136" s="2">
        <v>46177</v>
      </c>
      <c r="B136" t="s">
        <v>38</v>
      </c>
      <c r="C136" t="s">
        <v>82</v>
      </c>
      <c r="D136" s="55">
        <v>2314</v>
      </c>
    </row>
    <row r="137" spans="1:4" x14ac:dyDescent="0.25">
      <c r="A137" s="2">
        <v>46177</v>
      </c>
      <c r="B137" t="s">
        <v>39</v>
      </c>
      <c r="C137" t="s">
        <v>83</v>
      </c>
      <c r="D137" s="55">
        <v>1363</v>
      </c>
    </row>
    <row r="138" spans="1:4" x14ac:dyDescent="0.25">
      <c r="A138" s="2">
        <v>46178</v>
      </c>
      <c r="B138" t="s">
        <v>37</v>
      </c>
      <c r="C138" t="s">
        <v>81</v>
      </c>
      <c r="D138" s="55">
        <v>143</v>
      </c>
    </row>
    <row r="139" spans="1:4" x14ac:dyDescent="0.25">
      <c r="A139" s="2">
        <v>46178</v>
      </c>
      <c r="B139" t="s">
        <v>39</v>
      </c>
      <c r="C139" t="s">
        <v>83</v>
      </c>
      <c r="D139" s="55">
        <v>667</v>
      </c>
    </row>
    <row r="140" spans="1:4" x14ac:dyDescent="0.25">
      <c r="A140" s="2">
        <v>46178</v>
      </c>
      <c r="B140" t="s">
        <v>40</v>
      </c>
      <c r="C140" t="s">
        <v>84</v>
      </c>
      <c r="D140" s="55">
        <v>71</v>
      </c>
    </row>
    <row r="141" spans="1:4" x14ac:dyDescent="0.25">
      <c r="A141" s="2">
        <v>46179</v>
      </c>
      <c r="B141" t="s">
        <v>37</v>
      </c>
      <c r="C141" t="s">
        <v>81</v>
      </c>
      <c r="D141" s="55">
        <v>1596</v>
      </c>
    </row>
    <row r="142" spans="1:4" x14ac:dyDescent="0.25">
      <c r="A142" s="2">
        <v>46179</v>
      </c>
      <c r="B142" t="s">
        <v>38</v>
      </c>
      <c r="C142" t="s">
        <v>82</v>
      </c>
      <c r="D142" s="55">
        <v>1496</v>
      </c>
    </row>
    <row r="143" spans="1:4" x14ac:dyDescent="0.25">
      <c r="A143" s="2">
        <v>46180</v>
      </c>
      <c r="B143" t="s">
        <v>37</v>
      </c>
      <c r="C143" t="s">
        <v>81</v>
      </c>
      <c r="D143" s="55">
        <v>1202</v>
      </c>
    </row>
    <row r="144" spans="1:4" x14ac:dyDescent="0.25">
      <c r="A144" s="2">
        <v>46180</v>
      </c>
      <c r="B144" t="s">
        <v>38</v>
      </c>
      <c r="C144" t="s">
        <v>82</v>
      </c>
      <c r="D144" s="55">
        <v>2322</v>
      </c>
    </row>
    <row r="145" spans="1:4" x14ac:dyDescent="0.25">
      <c r="A145" s="2">
        <v>46180</v>
      </c>
      <c r="B145" t="s">
        <v>40</v>
      </c>
      <c r="C145" t="s">
        <v>84</v>
      </c>
      <c r="D145" s="55">
        <v>1176</v>
      </c>
    </row>
    <row r="146" spans="1:4" x14ac:dyDescent="0.25">
      <c r="A146" s="2">
        <v>46181</v>
      </c>
      <c r="B146" t="s">
        <v>38</v>
      </c>
      <c r="C146" t="s">
        <v>82</v>
      </c>
      <c r="D146" s="55">
        <v>1921</v>
      </c>
    </row>
    <row r="147" spans="1:4" x14ac:dyDescent="0.25">
      <c r="A147" s="2">
        <v>46181</v>
      </c>
      <c r="B147" t="s">
        <v>40</v>
      </c>
      <c r="C147" t="s">
        <v>84</v>
      </c>
      <c r="D147" s="55">
        <v>764</v>
      </c>
    </row>
    <row r="148" spans="1:4" x14ac:dyDescent="0.25">
      <c r="A148" s="2">
        <v>46182</v>
      </c>
      <c r="B148" t="s">
        <v>37</v>
      </c>
      <c r="C148" t="s">
        <v>81</v>
      </c>
      <c r="D148" s="55">
        <v>698</v>
      </c>
    </row>
    <row r="149" spans="1:4" x14ac:dyDescent="0.25">
      <c r="A149" s="2">
        <v>46182</v>
      </c>
      <c r="B149" t="s">
        <v>38</v>
      </c>
      <c r="C149" t="s">
        <v>82</v>
      </c>
      <c r="D149" s="55">
        <v>484</v>
      </c>
    </row>
    <row r="150" spans="1:4" x14ac:dyDescent="0.25">
      <c r="A150" s="2">
        <v>46182</v>
      </c>
      <c r="B150" t="s">
        <v>39</v>
      </c>
      <c r="C150" t="s">
        <v>83</v>
      </c>
      <c r="D150" s="55">
        <v>1747</v>
      </c>
    </row>
    <row r="151" spans="1:4" x14ac:dyDescent="0.25">
      <c r="A151" s="2">
        <v>46183</v>
      </c>
      <c r="B151" t="s">
        <v>39</v>
      </c>
      <c r="C151" t="s">
        <v>83</v>
      </c>
      <c r="D151" s="55">
        <v>1484</v>
      </c>
    </row>
    <row r="152" spans="1:4" x14ac:dyDescent="0.25">
      <c r="A152" s="2">
        <v>46204</v>
      </c>
      <c r="B152" t="s">
        <v>37</v>
      </c>
      <c r="C152" t="s">
        <v>81</v>
      </c>
      <c r="D152" s="55">
        <v>1251</v>
      </c>
    </row>
    <row r="153" spans="1:4" x14ac:dyDescent="0.25">
      <c r="A153" s="2">
        <v>46204</v>
      </c>
      <c r="B153" t="s">
        <v>38</v>
      </c>
      <c r="C153" t="s">
        <v>82</v>
      </c>
      <c r="D153" s="55">
        <v>763</v>
      </c>
    </row>
    <row r="154" spans="1:4" x14ac:dyDescent="0.25">
      <c r="A154" s="2">
        <v>46204</v>
      </c>
      <c r="B154" t="s">
        <v>40</v>
      </c>
      <c r="C154" t="s">
        <v>84</v>
      </c>
      <c r="D154" s="55">
        <v>2026</v>
      </c>
    </row>
    <row r="155" spans="1:4" x14ac:dyDescent="0.25">
      <c r="A155" s="2">
        <v>46205</v>
      </c>
      <c r="B155" t="s">
        <v>39</v>
      </c>
      <c r="C155" t="s">
        <v>83</v>
      </c>
      <c r="D155" s="55">
        <v>968</v>
      </c>
    </row>
    <row r="156" spans="1:4" x14ac:dyDescent="0.25">
      <c r="A156" s="2">
        <v>46205</v>
      </c>
      <c r="B156" t="s">
        <v>40</v>
      </c>
      <c r="C156" t="s">
        <v>84</v>
      </c>
      <c r="D156" s="55">
        <v>2138</v>
      </c>
    </row>
    <row r="157" spans="1:4" x14ac:dyDescent="0.25">
      <c r="A157" s="2">
        <v>46206</v>
      </c>
      <c r="B157" t="s">
        <v>37</v>
      </c>
      <c r="C157" t="s">
        <v>81</v>
      </c>
      <c r="D157" s="55">
        <v>2186</v>
      </c>
    </row>
    <row r="158" spans="1:4" x14ac:dyDescent="0.25">
      <c r="A158" s="2">
        <v>46206</v>
      </c>
      <c r="B158" t="s">
        <v>39</v>
      </c>
      <c r="C158" t="s">
        <v>83</v>
      </c>
      <c r="D158" s="55">
        <v>287</v>
      </c>
    </row>
    <row r="159" spans="1:4" x14ac:dyDescent="0.25">
      <c r="A159" s="2">
        <v>46209</v>
      </c>
      <c r="B159" t="s">
        <v>37</v>
      </c>
      <c r="C159" t="s">
        <v>81</v>
      </c>
      <c r="D159" s="55">
        <v>552</v>
      </c>
    </row>
    <row r="160" spans="1:4" x14ac:dyDescent="0.25">
      <c r="A160" s="2">
        <v>46209</v>
      </c>
      <c r="B160" t="s">
        <v>38</v>
      </c>
      <c r="C160" t="s">
        <v>82</v>
      </c>
      <c r="D160" s="55">
        <v>2260</v>
      </c>
    </row>
    <row r="161" spans="1:4" x14ac:dyDescent="0.25">
      <c r="A161" s="2">
        <v>46209</v>
      </c>
      <c r="B161" t="s">
        <v>39</v>
      </c>
      <c r="C161" t="s">
        <v>83</v>
      </c>
      <c r="D161" s="55">
        <v>899</v>
      </c>
    </row>
    <row r="162" spans="1:4" x14ac:dyDescent="0.25">
      <c r="A162" s="2">
        <v>46210</v>
      </c>
      <c r="B162" t="s">
        <v>38</v>
      </c>
      <c r="C162" t="s">
        <v>82</v>
      </c>
      <c r="D162" s="55">
        <v>413</v>
      </c>
    </row>
    <row r="163" spans="1:4" x14ac:dyDescent="0.25">
      <c r="A163" s="2">
        <v>46210</v>
      </c>
      <c r="B163" t="s">
        <v>39</v>
      </c>
      <c r="C163" t="s">
        <v>83</v>
      </c>
      <c r="D163" s="55">
        <v>2191</v>
      </c>
    </row>
    <row r="164" spans="1:4" x14ac:dyDescent="0.25">
      <c r="A164" s="2">
        <v>46210</v>
      </c>
      <c r="B164" t="s">
        <v>40</v>
      </c>
      <c r="C164" t="s">
        <v>84</v>
      </c>
      <c r="D164" s="55">
        <v>947</v>
      </c>
    </row>
    <row r="165" spans="1:4" x14ac:dyDescent="0.25">
      <c r="A165" s="2">
        <v>46211</v>
      </c>
      <c r="B165" t="s">
        <v>38</v>
      </c>
      <c r="C165" t="s">
        <v>82</v>
      </c>
      <c r="D165" s="55">
        <v>1990</v>
      </c>
    </row>
    <row r="166" spans="1:4" x14ac:dyDescent="0.25">
      <c r="A166" s="2">
        <v>46211</v>
      </c>
      <c r="B166" t="s">
        <v>40</v>
      </c>
      <c r="C166" t="s">
        <v>84</v>
      </c>
      <c r="D166" s="55">
        <v>1998</v>
      </c>
    </row>
    <row r="167" spans="1:4" x14ac:dyDescent="0.25">
      <c r="A167" s="2">
        <v>46212</v>
      </c>
      <c r="B167" t="s">
        <v>37</v>
      </c>
      <c r="C167" t="s">
        <v>81</v>
      </c>
      <c r="D167" s="55">
        <v>490</v>
      </c>
    </row>
    <row r="168" spans="1:4" x14ac:dyDescent="0.25">
      <c r="A168" s="2">
        <v>46212</v>
      </c>
      <c r="B168" t="s">
        <v>38</v>
      </c>
      <c r="C168" t="s">
        <v>82</v>
      </c>
      <c r="D168" s="55">
        <v>964</v>
      </c>
    </row>
    <row r="169" spans="1:4" x14ac:dyDescent="0.25">
      <c r="A169" s="2">
        <v>46212</v>
      </c>
      <c r="B169" t="s">
        <v>39</v>
      </c>
      <c r="C169" t="s">
        <v>83</v>
      </c>
      <c r="D169" s="55">
        <v>332</v>
      </c>
    </row>
    <row r="170" spans="1:4" x14ac:dyDescent="0.25">
      <c r="A170" s="2">
        <v>46213</v>
      </c>
      <c r="B170" t="s">
        <v>39</v>
      </c>
      <c r="C170" t="s">
        <v>83</v>
      </c>
      <c r="D170" s="55">
        <v>783</v>
      </c>
    </row>
    <row r="171" spans="1:4" x14ac:dyDescent="0.25">
      <c r="A171" s="2">
        <v>46213</v>
      </c>
      <c r="B171" t="s">
        <v>40</v>
      </c>
      <c r="C171" t="s">
        <v>84</v>
      </c>
      <c r="D171" s="55">
        <v>2538</v>
      </c>
    </row>
    <row r="172" spans="1:4" x14ac:dyDescent="0.25">
      <c r="A172" s="2">
        <v>46216</v>
      </c>
      <c r="B172" t="s">
        <v>37</v>
      </c>
      <c r="C172" t="s">
        <v>81</v>
      </c>
      <c r="D172" s="55">
        <v>2165</v>
      </c>
    </row>
    <row r="173" spans="1:4" x14ac:dyDescent="0.25">
      <c r="A173" s="2">
        <v>46216</v>
      </c>
      <c r="B173" t="s">
        <v>40</v>
      </c>
      <c r="C173" t="s">
        <v>84</v>
      </c>
      <c r="D173" s="55">
        <v>2087</v>
      </c>
    </row>
    <row r="174" spans="1:4" x14ac:dyDescent="0.25">
      <c r="A174" s="2">
        <v>46217</v>
      </c>
      <c r="B174" t="s">
        <v>37</v>
      </c>
      <c r="C174" t="s">
        <v>81</v>
      </c>
      <c r="D174" s="55">
        <v>2599</v>
      </c>
    </row>
    <row r="175" spans="1:4" x14ac:dyDescent="0.25">
      <c r="A175" s="2">
        <v>46217</v>
      </c>
      <c r="B175" t="s">
        <v>39</v>
      </c>
      <c r="C175" t="s">
        <v>83</v>
      </c>
      <c r="D175" s="55">
        <v>495</v>
      </c>
    </row>
    <row r="176" spans="1:4" x14ac:dyDescent="0.25">
      <c r="A176" s="2">
        <v>46217</v>
      </c>
      <c r="B176" t="s">
        <v>40</v>
      </c>
      <c r="C176" t="s">
        <v>84</v>
      </c>
      <c r="D176" s="55">
        <v>805</v>
      </c>
    </row>
    <row r="177" spans="1:4" x14ac:dyDescent="0.25">
      <c r="A177" s="2">
        <v>46218</v>
      </c>
      <c r="B177" t="s">
        <v>40</v>
      </c>
      <c r="C177" t="s">
        <v>84</v>
      </c>
      <c r="D177" s="55">
        <v>1837</v>
      </c>
    </row>
    <row r="178" spans="1:4" x14ac:dyDescent="0.25">
      <c r="A178" s="2">
        <v>46219</v>
      </c>
      <c r="B178" t="s">
        <v>37</v>
      </c>
      <c r="C178" t="s">
        <v>81</v>
      </c>
      <c r="D178" s="55">
        <v>758</v>
      </c>
    </row>
    <row r="179" spans="1:4" x14ac:dyDescent="0.25">
      <c r="A179" s="2">
        <v>46219</v>
      </c>
      <c r="B179" t="s">
        <v>38</v>
      </c>
      <c r="C179" t="s">
        <v>82</v>
      </c>
      <c r="D179" s="55">
        <v>955</v>
      </c>
    </row>
    <row r="180" spans="1:4" x14ac:dyDescent="0.25">
      <c r="A180" s="2">
        <v>46219</v>
      </c>
      <c r="B180" t="s">
        <v>39</v>
      </c>
      <c r="C180" t="s">
        <v>83</v>
      </c>
      <c r="D180" s="55">
        <v>584</v>
      </c>
    </row>
    <row r="181" spans="1:4" x14ac:dyDescent="0.25">
      <c r="A181" s="2">
        <v>46219</v>
      </c>
      <c r="B181" t="s">
        <v>40</v>
      </c>
      <c r="C181" t="s">
        <v>84</v>
      </c>
      <c r="D181" s="55">
        <v>450</v>
      </c>
    </row>
    <row r="182" spans="1:4" x14ac:dyDescent="0.25">
      <c r="A182" s="2">
        <v>46220</v>
      </c>
      <c r="B182" t="s">
        <v>37</v>
      </c>
      <c r="C182" t="s">
        <v>81</v>
      </c>
      <c r="D182" s="55">
        <v>1571</v>
      </c>
    </row>
    <row r="183" spans="1:4" x14ac:dyDescent="0.25">
      <c r="A183" s="2">
        <v>46220</v>
      </c>
      <c r="B183" t="s">
        <v>38</v>
      </c>
      <c r="C183" t="s">
        <v>82</v>
      </c>
      <c r="D183" s="55">
        <v>255</v>
      </c>
    </row>
    <row r="184" spans="1:4" x14ac:dyDescent="0.25">
      <c r="A184" s="2">
        <v>46220</v>
      </c>
      <c r="B184" t="s">
        <v>39</v>
      </c>
      <c r="C184" t="s">
        <v>83</v>
      </c>
      <c r="D184" s="55">
        <v>2099</v>
      </c>
    </row>
    <row r="185" spans="1:4" x14ac:dyDescent="0.25">
      <c r="A185" s="2">
        <v>46220</v>
      </c>
      <c r="B185" t="s">
        <v>40</v>
      </c>
      <c r="C185" t="s">
        <v>84</v>
      </c>
      <c r="D185" s="55">
        <v>1393</v>
      </c>
    </row>
  </sheetData>
  <dataValidations count="4">
    <dataValidation type="date" operator="greaterThanOrEqual" allowBlank="1" showErrorMessage="1" errorTitle="Invalid date" error="Enter a valid date (on or after 1 January 2020)." sqref="A2:A3000" xr:uid="{00000000-0002-0000-0600-000000000000}">
      <formula1>DATE(2020,1,1)</formula1>
    </dataValidation>
    <dataValidation type="list" allowBlank="1" showErrorMessage="1" errorTitle="Invalid business group" error="Select a business group from the drop-down list. Valid values are maintained on the Lists sheet." sqref="B2:B3000" xr:uid="{00000000-0002-0000-0600-000001000000}">
      <formula1>RevenueGroups</formula1>
    </dataValidation>
    <dataValidation type="list" allowBlank="1" showErrorMessage="1" errorTitle="Invalid campaign/stream" error="Select a campaign/stream from the drop-down list. Valid values are maintained on the Lists sheet." sqref="C2:C3000" xr:uid="{00000000-0002-0000-0600-000002000000}">
      <formula1>RevenueStreams</formula1>
    </dataValidation>
    <dataValidation type="decimal" operator="greaterThanOrEqual" allowBlank="1" showErrorMessage="1" errorTitle="Invalid value" error="Daily revenue must be a number of zero or more (Rands)." sqref="D2:D3000" xr:uid="{00000000-0002-0000-0600-000003000000}">
      <formula1>0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98781"/>
  </sheetPr>
  <dimension ref="A1:O38"/>
  <sheetViews>
    <sheetView showGridLines="0" topLeftCell="A2" workbookViewId="0"/>
  </sheetViews>
  <sheetFormatPr defaultRowHeight="15" x14ac:dyDescent="0.25"/>
  <cols>
    <col min="1" max="1" width="22" customWidth="1"/>
    <col min="2" max="2" width="12" customWidth="1"/>
    <col min="3" max="6" width="13" customWidth="1"/>
    <col min="7" max="7" width="11" customWidth="1"/>
    <col min="8" max="12" width="13" customWidth="1"/>
    <col min="13" max="13" width="15" customWidth="1"/>
    <col min="14" max="14" width="13" customWidth="1"/>
    <col min="15" max="15" width="12" customWidth="1"/>
  </cols>
  <sheetData>
    <row r="1" spans="1:15" x14ac:dyDescent="0.25">
      <c r="A1" s="41" t="s">
        <v>29</v>
      </c>
    </row>
    <row r="3" spans="1:15" x14ac:dyDescent="0.25">
      <c r="A3" s="47" t="s">
        <v>30</v>
      </c>
      <c r="B3" s="47" t="s">
        <v>31</v>
      </c>
      <c r="C3" s="47" t="s">
        <v>32</v>
      </c>
      <c r="D3" s="47" t="s">
        <v>33</v>
      </c>
      <c r="E3" s="47" t="s">
        <v>34</v>
      </c>
      <c r="F3" s="47" t="s">
        <v>35</v>
      </c>
      <c r="G3" s="47" t="s">
        <v>36</v>
      </c>
      <c r="H3" s="47" t="s">
        <v>37</v>
      </c>
      <c r="I3" s="47" t="s">
        <v>38</v>
      </c>
      <c r="J3" s="47" t="s">
        <v>39</v>
      </c>
      <c r="K3" s="47" t="s">
        <v>40</v>
      </c>
      <c r="L3" s="47" t="s">
        <v>41</v>
      </c>
      <c r="M3" s="47" t="s">
        <v>42</v>
      </c>
      <c r="N3" s="47" t="s">
        <v>43</v>
      </c>
      <c r="O3" s="47" t="s">
        <v>44</v>
      </c>
    </row>
    <row r="4" spans="1:15" x14ac:dyDescent="0.25">
      <c r="A4" t="str">
        <f t="shared" ref="A4:A15" ca="1" si="0">TEXT($B4,"mmm")</f>
        <v>Jan</v>
      </c>
      <c r="B4" s="2">
        <f ca="1">DATE(Calculations!$B$4,1,1)</f>
        <v>46023</v>
      </c>
      <c r="C4" s="48">
        <f ca="1">IF($B4&gt;TODAY(),NA(),SUMIFS(DemandTbl[Daily Leads (count)],DemandTbl[Business Group],C$3,DemandTbl[Date],"&gt;="&amp;$B4,DemandTbl[Date],"&lt;"&amp;EDATE($B4,1)))</f>
        <v>136</v>
      </c>
      <c r="D4" s="48">
        <f ca="1">IF($B4&gt;TODAY(),NA(),SUMIFS(DemandTbl[Daily Leads (count)],DemandTbl[Business Group],D$3,DemandTbl[Date],"&gt;="&amp;$B4,DemandTbl[Date],"&lt;"&amp;EDATE($B4,1)))</f>
        <v>118</v>
      </c>
      <c r="E4" s="48">
        <f ca="1">IF($B4&gt;TODAY(),NA(),SUMIFS(DemandTbl[Daily Leads (count)],DemandTbl[Business Group],E$3,DemandTbl[Date],"&gt;="&amp;$B4,DemandTbl[Date],"&lt;"&amp;EDATE($B4,1)))</f>
        <v>112</v>
      </c>
      <c r="F4" s="48">
        <f ca="1">IF($B4&gt;TODAY(),NA(),SUMIFS(DemandTbl[Daily Leads (count)],DemandTbl[Business Group],F$3,DemandTbl[Date],"&gt;="&amp;$B4,DemandTbl[Date],"&lt;"&amp;EDATE($B4,1)))</f>
        <v>126</v>
      </c>
      <c r="G4" s="48">
        <f t="shared" ref="G4:G15" ca="1" si="1">IF($B4&gt;TODAY(),NA(),SUM(C4:F4))</f>
        <v>492</v>
      </c>
      <c r="H4" s="49">
        <f ca="1">IF($B4&gt;TODAY(),NA(),SUMIFS(RevenueTbl[Daily Revenue (R)],RevenueTbl[Business Group],H$3,RevenueTbl[Date],"&gt;="&amp;$B4,RevenueTbl[Date],"&lt;"&amp;EDATE($B4,1)))</f>
        <v>3449</v>
      </c>
      <c r="I4" s="49">
        <f ca="1">IF($B4&gt;TODAY(),NA(),SUMIFS(RevenueTbl[Daily Revenue (R)],RevenueTbl[Business Group],I$3,RevenueTbl[Date],"&gt;="&amp;$B4,RevenueTbl[Date],"&lt;"&amp;EDATE($B4,1)))</f>
        <v>7384</v>
      </c>
      <c r="J4" s="49">
        <f ca="1">IF($B4&gt;TODAY(),NA(),SUMIFS(RevenueTbl[Daily Revenue (R)],RevenueTbl[Business Group],J$3,RevenueTbl[Date],"&gt;="&amp;$B4,RevenueTbl[Date],"&lt;"&amp;EDATE($B4,1)))</f>
        <v>7234</v>
      </c>
      <c r="K4" s="49">
        <f ca="1">IF($B4&gt;TODAY(),NA(),SUMIFS(RevenueTbl[Daily Revenue (R)],RevenueTbl[Business Group],K$3,RevenueTbl[Date],"&gt;="&amp;$B4,RevenueTbl[Date],"&lt;"&amp;EDATE($B4,1)))</f>
        <v>7546</v>
      </c>
      <c r="L4" s="49">
        <f t="shared" ref="L4:L15" ca="1" si="2">IF($B4&gt;TODAY(),NA(),SUM(H4:K4))</f>
        <v>25613</v>
      </c>
      <c r="M4" s="49">
        <f ca="1">IF($B4&gt;TODAY(),NA(),SUM($N$4:N4))</f>
        <v>25613</v>
      </c>
      <c r="N4" s="49">
        <f t="shared" ref="N4:N15" ca="1" si="3">IFERROR(L4,0)</f>
        <v>25613</v>
      </c>
      <c r="O4" s="48">
        <f t="shared" ref="O4:O15" ca="1" si="4">IFERROR(G4,0)</f>
        <v>492</v>
      </c>
    </row>
    <row r="5" spans="1:15" x14ac:dyDescent="0.25">
      <c r="A5" t="str">
        <f t="shared" ca="1" si="0"/>
        <v>Feb</v>
      </c>
      <c r="B5" s="2">
        <f ca="1">DATE(Calculations!$B$4,2,1)</f>
        <v>46054</v>
      </c>
      <c r="C5" s="48">
        <f ca="1">IF($B5&gt;TODAY(),NA(),SUMIFS(DemandTbl[Daily Leads (count)],DemandTbl[Business Group],C$3,DemandTbl[Date],"&gt;="&amp;$B5,DemandTbl[Date],"&lt;"&amp;EDATE($B5,1)))</f>
        <v>181</v>
      </c>
      <c r="D5" s="48">
        <f ca="1">IF($B5&gt;TODAY(),NA(),SUMIFS(DemandTbl[Daily Leads (count)],DemandTbl[Business Group],D$3,DemandTbl[Date],"&gt;="&amp;$B5,DemandTbl[Date],"&lt;"&amp;EDATE($B5,1)))</f>
        <v>108</v>
      </c>
      <c r="E5" s="48">
        <f ca="1">IF($B5&gt;TODAY(),NA(),SUMIFS(DemandTbl[Daily Leads (count)],DemandTbl[Business Group],E$3,DemandTbl[Date],"&gt;="&amp;$B5,DemandTbl[Date],"&lt;"&amp;EDATE($B5,1)))</f>
        <v>196</v>
      </c>
      <c r="F5" s="48">
        <f ca="1">IF($B5&gt;TODAY(),NA(),SUMIFS(DemandTbl[Daily Leads (count)],DemandTbl[Business Group],F$3,DemandTbl[Date],"&gt;="&amp;$B5,DemandTbl[Date],"&lt;"&amp;EDATE($B5,1)))</f>
        <v>166</v>
      </c>
      <c r="G5" s="48">
        <f t="shared" ca="1" si="1"/>
        <v>651</v>
      </c>
      <c r="H5" s="49">
        <f ca="1">IF($B5&gt;TODAY(),NA(),SUMIFS(RevenueTbl[Daily Revenue (R)],RevenueTbl[Business Group],H$3,RevenueTbl[Date],"&gt;="&amp;$B5,RevenueTbl[Date],"&lt;"&amp;EDATE($B5,1)))</f>
        <v>5169</v>
      </c>
      <c r="I5" s="49">
        <f ca="1">IF($B5&gt;TODAY(),NA(),SUMIFS(RevenueTbl[Daily Revenue (R)],RevenueTbl[Business Group],I$3,RevenueTbl[Date],"&gt;="&amp;$B5,RevenueTbl[Date],"&lt;"&amp;EDATE($B5,1)))</f>
        <v>6302</v>
      </c>
      <c r="J5" s="49">
        <f ca="1">IF($B5&gt;TODAY(),NA(),SUMIFS(RevenueTbl[Daily Revenue (R)],RevenueTbl[Business Group],J$3,RevenueTbl[Date],"&gt;="&amp;$B5,RevenueTbl[Date],"&lt;"&amp;EDATE($B5,1)))</f>
        <v>4175</v>
      </c>
      <c r="K5" s="49">
        <f ca="1">IF($B5&gt;TODAY(),NA(),SUMIFS(RevenueTbl[Daily Revenue (R)],RevenueTbl[Business Group],K$3,RevenueTbl[Date],"&gt;="&amp;$B5,RevenueTbl[Date],"&lt;"&amp;EDATE($B5,1)))</f>
        <v>6340</v>
      </c>
      <c r="L5" s="49">
        <f t="shared" ca="1" si="2"/>
        <v>21986</v>
      </c>
      <c r="M5" s="49">
        <f ca="1">IF($B5&gt;TODAY(),NA(),SUM($N$4:N5))</f>
        <v>47599</v>
      </c>
      <c r="N5" s="49">
        <f t="shared" ca="1" si="3"/>
        <v>21986</v>
      </c>
      <c r="O5" s="48">
        <f t="shared" ca="1" si="4"/>
        <v>651</v>
      </c>
    </row>
    <row r="6" spans="1:15" x14ac:dyDescent="0.25">
      <c r="A6" t="str">
        <f t="shared" ca="1" si="0"/>
        <v>Mar</v>
      </c>
      <c r="B6" s="2">
        <f ca="1">DATE(Calculations!$B$4,3,1)</f>
        <v>46082</v>
      </c>
      <c r="C6" s="48">
        <f ca="1">IF($B6&gt;TODAY(),NA(),SUMIFS(DemandTbl[Daily Leads (count)],DemandTbl[Business Group],C$3,DemandTbl[Date],"&gt;="&amp;$B6,DemandTbl[Date],"&lt;"&amp;EDATE($B6,1)))</f>
        <v>61</v>
      </c>
      <c r="D6" s="48">
        <f ca="1">IF($B6&gt;TODAY(),NA(),SUMIFS(DemandTbl[Daily Leads (count)],DemandTbl[Business Group],D$3,DemandTbl[Date],"&gt;="&amp;$B6,DemandTbl[Date],"&lt;"&amp;EDATE($B6,1)))</f>
        <v>95</v>
      </c>
      <c r="E6" s="48">
        <f ca="1">IF($B6&gt;TODAY(),NA(),SUMIFS(DemandTbl[Daily Leads (count)],DemandTbl[Business Group],E$3,DemandTbl[Date],"&gt;="&amp;$B6,DemandTbl[Date],"&lt;"&amp;EDATE($B6,1)))</f>
        <v>121</v>
      </c>
      <c r="F6" s="48">
        <f ca="1">IF($B6&gt;TODAY(),NA(),SUMIFS(DemandTbl[Daily Leads (count)],DemandTbl[Business Group],F$3,DemandTbl[Date],"&gt;="&amp;$B6,DemandTbl[Date],"&lt;"&amp;EDATE($B6,1)))</f>
        <v>102</v>
      </c>
      <c r="G6" s="48">
        <f t="shared" ca="1" si="1"/>
        <v>379</v>
      </c>
      <c r="H6" s="49">
        <f ca="1">IF($B6&gt;TODAY(),NA(),SUMIFS(RevenueTbl[Daily Revenue (R)],RevenueTbl[Business Group],H$3,RevenueTbl[Date],"&gt;="&amp;$B6,RevenueTbl[Date],"&lt;"&amp;EDATE($B6,1)))</f>
        <v>6642</v>
      </c>
      <c r="I6" s="49">
        <f ca="1">IF($B6&gt;TODAY(),NA(),SUMIFS(RevenueTbl[Daily Revenue (R)],RevenueTbl[Business Group],I$3,RevenueTbl[Date],"&gt;="&amp;$B6,RevenueTbl[Date],"&lt;"&amp;EDATE($B6,1)))</f>
        <v>10027</v>
      </c>
      <c r="J6" s="49">
        <f ca="1">IF($B6&gt;TODAY(),NA(),SUMIFS(RevenueTbl[Daily Revenue (R)],RevenueTbl[Business Group],J$3,RevenueTbl[Date],"&gt;="&amp;$B6,RevenueTbl[Date],"&lt;"&amp;EDATE($B6,1)))</f>
        <v>6943</v>
      </c>
      <c r="K6" s="49">
        <f ca="1">IF($B6&gt;TODAY(),NA(),SUMIFS(RevenueTbl[Daily Revenue (R)],RevenueTbl[Business Group],K$3,RevenueTbl[Date],"&gt;="&amp;$B6,RevenueTbl[Date],"&lt;"&amp;EDATE($B6,1)))</f>
        <v>7239</v>
      </c>
      <c r="L6" s="49">
        <f t="shared" ca="1" si="2"/>
        <v>30851</v>
      </c>
      <c r="M6" s="49">
        <f ca="1">IF($B6&gt;TODAY(),NA(),SUM($N$4:N6))</f>
        <v>78450</v>
      </c>
      <c r="N6" s="49">
        <f t="shared" ca="1" si="3"/>
        <v>30851</v>
      </c>
      <c r="O6" s="48">
        <f t="shared" ca="1" si="4"/>
        <v>379</v>
      </c>
    </row>
    <row r="7" spans="1:15" x14ac:dyDescent="0.25">
      <c r="A7" t="str">
        <f t="shared" ca="1" si="0"/>
        <v>Apr</v>
      </c>
      <c r="B7" s="2">
        <f ca="1">DATE(Calculations!$B$4,4,1)</f>
        <v>46113</v>
      </c>
      <c r="C7" s="48">
        <f ca="1">IF($B7&gt;TODAY(),NA(),SUMIFS(DemandTbl[Daily Leads (count)],DemandTbl[Business Group],C$3,DemandTbl[Date],"&gt;="&amp;$B7,DemandTbl[Date],"&lt;"&amp;EDATE($B7,1)))</f>
        <v>87</v>
      </c>
      <c r="D7" s="48">
        <f ca="1">IF($B7&gt;TODAY(),NA(),SUMIFS(DemandTbl[Daily Leads (count)],DemandTbl[Business Group],D$3,DemandTbl[Date],"&gt;="&amp;$B7,DemandTbl[Date],"&lt;"&amp;EDATE($B7,1)))</f>
        <v>134</v>
      </c>
      <c r="E7" s="48">
        <f ca="1">IF($B7&gt;TODAY(),NA(),SUMIFS(DemandTbl[Daily Leads (count)],DemandTbl[Business Group],E$3,DemandTbl[Date],"&gt;="&amp;$B7,DemandTbl[Date],"&lt;"&amp;EDATE($B7,1)))</f>
        <v>130</v>
      </c>
      <c r="F7" s="48">
        <f ca="1">IF($B7&gt;TODAY(),NA(),SUMIFS(DemandTbl[Daily Leads (count)],DemandTbl[Business Group],F$3,DemandTbl[Date],"&gt;="&amp;$B7,DemandTbl[Date],"&lt;"&amp;EDATE($B7,1)))</f>
        <v>99</v>
      </c>
      <c r="G7" s="48">
        <f t="shared" ca="1" si="1"/>
        <v>450</v>
      </c>
      <c r="H7" s="49">
        <f ca="1">IF($B7&gt;TODAY(),NA(),SUMIFS(RevenueTbl[Daily Revenue (R)],RevenueTbl[Business Group],H$3,RevenueTbl[Date],"&gt;="&amp;$B7,RevenueTbl[Date],"&lt;"&amp;EDATE($B7,1)))</f>
        <v>5522</v>
      </c>
      <c r="I7" s="49">
        <f ca="1">IF($B7&gt;TODAY(),NA(),SUMIFS(RevenueTbl[Daily Revenue (R)],RevenueTbl[Business Group],I$3,RevenueTbl[Date],"&gt;="&amp;$B7,RevenueTbl[Date],"&lt;"&amp;EDATE($B7,1)))</f>
        <v>8897</v>
      </c>
      <c r="J7" s="49">
        <f ca="1">IF($B7&gt;TODAY(),NA(),SUMIFS(RevenueTbl[Daily Revenue (R)],RevenueTbl[Business Group],J$3,RevenueTbl[Date],"&gt;="&amp;$B7,RevenueTbl[Date],"&lt;"&amp;EDATE($B7,1)))</f>
        <v>8408</v>
      </c>
      <c r="K7" s="49">
        <f ca="1">IF($B7&gt;TODAY(),NA(),SUMIFS(RevenueTbl[Daily Revenue (R)],RevenueTbl[Business Group],K$3,RevenueTbl[Date],"&gt;="&amp;$B7,RevenueTbl[Date],"&lt;"&amp;EDATE($B7,1)))</f>
        <v>4193</v>
      </c>
      <c r="L7" s="49">
        <f t="shared" ca="1" si="2"/>
        <v>27020</v>
      </c>
      <c r="M7" s="49">
        <f ca="1">IF($B7&gt;TODAY(),NA(),SUM($N$4:N7))</f>
        <v>105470</v>
      </c>
      <c r="N7" s="49">
        <f t="shared" ca="1" si="3"/>
        <v>27020</v>
      </c>
      <c r="O7" s="48">
        <f t="shared" ca="1" si="4"/>
        <v>450</v>
      </c>
    </row>
    <row r="8" spans="1:15" x14ac:dyDescent="0.25">
      <c r="A8" t="str">
        <f t="shared" ca="1" si="0"/>
        <v>May</v>
      </c>
      <c r="B8" s="2">
        <f ca="1">DATE(Calculations!$B$4,5,1)</f>
        <v>46143</v>
      </c>
      <c r="C8" s="48">
        <f ca="1">IF($B8&gt;TODAY(),NA(),SUMIFS(DemandTbl[Daily Leads (count)],DemandTbl[Business Group],C$3,DemandTbl[Date],"&gt;="&amp;$B8,DemandTbl[Date],"&lt;"&amp;EDATE($B8,1)))</f>
        <v>142</v>
      </c>
      <c r="D8" s="48">
        <f ca="1">IF($B8&gt;TODAY(),NA(),SUMIFS(DemandTbl[Daily Leads (count)],DemandTbl[Business Group],D$3,DemandTbl[Date],"&gt;="&amp;$B8,DemandTbl[Date],"&lt;"&amp;EDATE($B8,1)))</f>
        <v>254</v>
      </c>
      <c r="E8" s="48">
        <f ca="1">IF($B8&gt;TODAY(),NA(),SUMIFS(DemandTbl[Daily Leads (count)],DemandTbl[Business Group],E$3,DemandTbl[Date],"&gt;="&amp;$B8,DemandTbl[Date],"&lt;"&amp;EDATE($B8,1)))</f>
        <v>194</v>
      </c>
      <c r="F8" s="48">
        <f ca="1">IF($B8&gt;TODAY(),NA(),SUMIFS(DemandTbl[Daily Leads (count)],DemandTbl[Business Group],F$3,DemandTbl[Date],"&gt;="&amp;$B8,DemandTbl[Date],"&lt;"&amp;EDATE($B8,1)))</f>
        <v>235</v>
      </c>
      <c r="G8" s="48">
        <f t="shared" ca="1" si="1"/>
        <v>825</v>
      </c>
      <c r="H8" s="49">
        <f ca="1">IF($B8&gt;TODAY(),NA(),SUMIFS(RevenueTbl[Daily Revenue (R)],RevenueTbl[Business Group],H$3,RevenueTbl[Date],"&gt;="&amp;$B8,RevenueTbl[Date],"&lt;"&amp;EDATE($B8,1)))</f>
        <v>10215</v>
      </c>
      <c r="I8" s="49">
        <f ca="1">IF($B8&gt;TODAY(),NA(),SUMIFS(RevenueTbl[Daily Revenue (R)],RevenueTbl[Business Group],I$3,RevenueTbl[Date],"&gt;="&amp;$B8,RevenueTbl[Date],"&lt;"&amp;EDATE($B8,1)))</f>
        <v>13958</v>
      </c>
      <c r="J8" s="49">
        <f ca="1">IF($B8&gt;TODAY(),NA(),SUMIFS(RevenueTbl[Daily Revenue (R)],RevenueTbl[Business Group],J$3,RevenueTbl[Date],"&gt;="&amp;$B8,RevenueTbl[Date],"&lt;"&amp;EDATE($B8,1)))</f>
        <v>18676</v>
      </c>
      <c r="K8" s="49">
        <f ca="1">IF($B8&gt;TODAY(),NA(),SUMIFS(RevenueTbl[Daily Revenue (R)],RevenueTbl[Business Group],K$3,RevenueTbl[Date],"&gt;="&amp;$B8,RevenueTbl[Date],"&lt;"&amp;EDATE($B8,1)))</f>
        <v>7049</v>
      </c>
      <c r="L8" s="49">
        <f t="shared" ca="1" si="2"/>
        <v>49898</v>
      </c>
      <c r="M8" s="49">
        <f ca="1">IF($B8&gt;TODAY(),NA(),SUM($N$4:N8))</f>
        <v>155368</v>
      </c>
      <c r="N8" s="49">
        <f t="shared" ca="1" si="3"/>
        <v>49898</v>
      </c>
      <c r="O8" s="48">
        <f t="shared" ca="1" si="4"/>
        <v>825</v>
      </c>
    </row>
    <row r="9" spans="1:15" x14ac:dyDescent="0.25">
      <c r="A9" t="str">
        <f t="shared" ca="1" si="0"/>
        <v>Jun</v>
      </c>
      <c r="B9" s="2">
        <f ca="1">DATE(Calculations!$B$4,6,1)</f>
        <v>46174</v>
      </c>
      <c r="C9" s="48">
        <f ca="1">IF($B9&gt;TODAY(),NA(),SUMIFS(DemandTbl[Daily Leads (count)],DemandTbl[Business Group],C$3,DemandTbl[Date],"&gt;="&amp;$B9,DemandTbl[Date],"&lt;"&amp;EDATE($B9,1)))</f>
        <v>188</v>
      </c>
      <c r="D9" s="48">
        <f ca="1">IF($B9&gt;TODAY(),NA(),SUMIFS(DemandTbl[Daily Leads (count)],DemandTbl[Business Group],D$3,DemandTbl[Date],"&gt;="&amp;$B9,DemandTbl[Date],"&lt;"&amp;EDATE($B9,1)))</f>
        <v>161</v>
      </c>
      <c r="E9" s="48">
        <f ca="1">IF($B9&gt;TODAY(),NA(),SUMIFS(DemandTbl[Daily Leads (count)],DemandTbl[Business Group],E$3,DemandTbl[Date],"&gt;="&amp;$B9,DemandTbl[Date],"&lt;"&amp;EDATE($B9,1)))</f>
        <v>189</v>
      </c>
      <c r="F9" s="48">
        <f ca="1">IF($B9&gt;TODAY(),NA(),SUMIFS(DemandTbl[Daily Leads (count)],DemandTbl[Business Group],F$3,DemandTbl[Date],"&gt;="&amp;$B9,DemandTbl[Date],"&lt;"&amp;EDATE($B9,1)))</f>
        <v>152</v>
      </c>
      <c r="G9" s="48">
        <f t="shared" ca="1" si="1"/>
        <v>690</v>
      </c>
      <c r="H9" s="49">
        <f ca="1">IF($B9&gt;TODAY(),NA(),SUMIFS(RevenueTbl[Daily Revenue (R)],RevenueTbl[Business Group],H$3,RevenueTbl[Date],"&gt;="&amp;$B9,RevenueTbl[Date],"&lt;"&amp;EDATE($B9,1)))</f>
        <v>5991</v>
      </c>
      <c r="I9" s="49">
        <f ca="1">IF($B9&gt;TODAY(),NA(),SUMIFS(RevenueTbl[Daily Revenue (R)],RevenueTbl[Business Group],I$3,RevenueTbl[Date],"&gt;="&amp;$B9,RevenueTbl[Date],"&lt;"&amp;EDATE($B9,1)))</f>
        <v>11136</v>
      </c>
      <c r="J9" s="49">
        <f ca="1">IF($B9&gt;TODAY(),NA(),SUMIFS(RevenueTbl[Daily Revenue (R)],RevenueTbl[Business Group],J$3,RevenueTbl[Date],"&gt;="&amp;$B9,RevenueTbl[Date],"&lt;"&amp;EDATE($B9,1)))</f>
        <v>5261</v>
      </c>
      <c r="K9" s="49">
        <f ca="1">IF($B9&gt;TODAY(),NA(),SUMIFS(RevenueTbl[Daily Revenue (R)],RevenueTbl[Business Group],K$3,RevenueTbl[Date],"&gt;="&amp;$B9,RevenueTbl[Date],"&lt;"&amp;EDATE($B9,1)))</f>
        <v>5410</v>
      </c>
      <c r="L9" s="49">
        <f t="shared" ca="1" si="2"/>
        <v>27798</v>
      </c>
      <c r="M9" s="49">
        <f ca="1">IF($B9&gt;TODAY(),NA(),SUM($N$4:N9))</f>
        <v>183166</v>
      </c>
      <c r="N9" s="49">
        <f t="shared" ca="1" si="3"/>
        <v>27798</v>
      </c>
      <c r="O9" s="48">
        <f t="shared" ca="1" si="4"/>
        <v>690</v>
      </c>
    </row>
    <row r="10" spans="1:15" x14ac:dyDescent="0.25">
      <c r="A10" t="str">
        <f t="shared" ca="1" si="0"/>
        <v>Jul</v>
      </c>
      <c r="B10" s="2">
        <f ca="1">DATE(Calculations!$B$4,7,1)</f>
        <v>46204</v>
      </c>
      <c r="C10" s="48">
        <f ca="1">IF($B10&gt;TODAY(),NA(),SUMIFS(DemandTbl[Daily Leads (count)],DemandTbl[Business Group],C$3,DemandTbl[Date],"&gt;="&amp;$B10,DemandTbl[Date],"&lt;"&amp;EDATE($B10,1)))</f>
        <v>191</v>
      </c>
      <c r="D10" s="48">
        <f ca="1">IF($B10&gt;TODAY(),NA(),SUMIFS(DemandTbl[Daily Leads (count)],DemandTbl[Business Group],D$3,DemandTbl[Date],"&gt;="&amp;$B10,DemandTbl[Date],"&lt;"&amp;EDATE($B10,1)))</f>
        <v>205</v>
      </c>
      <c r="E10" s="48">
        <f ca="1">IF($B10&gt;TODAY(),NA(),SUMIFS(DemandTbl[Daily Leads (count)],DemandTbl[Business Group],E$3,DemandTbl[Date],"&gt;="&amp;$B10,DemandTbl[Date],"&lt;"&amp;EDATE($B10,1)))</f>
        <v>170</v>
      </c>
      <c r="F10" s="48">
        <f ca="1">IF($B10&gt;TODAY(),NA(),SUMIFS(DemandTbl[Daily Leads (count)],DemandTbl[Business Group],F$3,DemandTbl[Date],"&gt;="&amp;$B10,DemandTbl[Date],"&lt;"&amp;EDATE($B10,1)))</f>
        <v>208</v>
      </c>
      <c r="G10" s="48">
        <f t="shared" ca="1" si="1"/>
        <v>774</v>
      </c>
      <c r="H10" s="49">
        <f ca="1">IF($B10&gt;TODAY(),NA(),SUMIFS(RevenueTbl[Daily Revenue (R)],RevenueTbl[Business Group],H$3,RevenueTbl[Date],"&gt;="&amp;$B10,RevenueTbl[Date],"&lt;"&amp;EDATE($B10,1)))</f>
        <v>11572</v>
      </c>
      <c r="I10" s="49">
        <f ca="1">IF($B10&gt;TODAY(),NA(),SUMIFS(RevenueTbl[Daily Revenue (R)],RevenueTbl[Business Group],I$3,RevenueTbl[Date],"&gt;="&amp;$B10,RevenueTbl[Date],"&lt;"&amp;EDATE($B10,1)))</f>
        <v>7600</v>
      </c>
      <c r="J10" s="49">
        <f ca="1">IF($B10&gt;TODAY(),NA(),SUMIFS(RevenueTbl[Daily Revenue (R)],RevenueTbl[Business Group],J$3,RevenueTbl[Date],"&gt;="&amp;$B10,RevenueTbl[Date],"&lt;"&amp;EDATE($B10,1)))</f>
        <v>8638</v>
      </c>
      <c r="K10" s="49">
        <f ca="1">IF($B10&gt;TODAY(),NA(),SUMIFS(RevenueTbl[Daily Revenue (R)],RevenueTbl[Business Group],K$3,RevenueTbl[Date],"&gt;="&amp;$B10,RevenueTbl[Date],"&lt;"&amp;EDATE($B10,1)))</f>
        <v>16219</v>
      </c>
      <c r="L10" s="49">
        <f t="shared" ca="1" si="2"/>
        <v>44029</v>
      </c>
      <c r="M10" s="49">
        <f ca="1">IF($B10&gt;TODAY(),NA(),SUM($N$4:N10))</f>
        <v>227195</v>
      </c>
      <c r="N10" s="49">
        <f t="shared" ca="1" si="3"/>
        <v>44029</v>
      </c>
      <c r="O10" s="48">
        <f t="shared" ca="1" si="4"/>
        <v>774</v>
      </c>
    </row>
    <row r="11" spans="1:15" x14ac:dyDescent="0.25">
      <c r="A11" t="str">
        <f t="shared" ca="1" si="0"/>
        <v>Aug</v>
      </c>
      <c r="B11" s="2">
        <f ca="1">DATE(Calculations!$B$4,8,1)</f>
        <v>46235</v>
      </c>
      <c r="C11" s="48" t="e">
        <f ca="1">IF($B11&gt;TODAY(),NA(),SUMIFS(DemandTbl[Daily Leads (count)],DemandTbl[Business Group],C$3,DemandTbl[Date],"&gt;="&amp;$B11,DemandTbl[Date],"&lt;"&amp;EDATE($B11,1)))</f>
        <v>#N/A</v>
      </c>
      <c r="D11" s="48" t="e">
        <f ca="1">IF($B11&gt;TODAY(),NA(),SUMIFS(DemandTbl[Daily Leads (count)],DemandTbl[Business Group],D$3,DemandTbl[Date],"&gt;="&amp;$B11,DemandTbl[Date],"&lt;"&amp;EDATE($B11,1)))</f>
        <v>#N/A</v>
      </c>
      <c r="E11" s="48" t="e">
        <f ca="1">IF($B11&gt;TODAY(),NA(),SUMIFS(DemandTbl[Daily Leads (count)],DemandTbl[Business Group],E$3,DemandTbl[Date],"&gt;="&amp;$B11,DemandTbl[Date],"&lt;"&amp;EDATE($B11,1)))</f>
        <v>#N/A</v>
      </c>
      <c r="F11" s="48" t="e">
        <f ca="1">IF($B11&gt;TODAY(),NA(),SUMIFS(DemandTbl[Daily Leads (count)],DemandTbl[Business Group],F$3,DemandTbl[Date],"&gt;="&amp;$B11,DemandTbl[Date],"&lt;"&amp;EDATE($B11,1)))</f>
        <v>#N/A</v>
      </c>
      <c r="G11" s="48" t="e">
        <f t="shared" ca="1" si="1"/>
        <v>#N/A</v>
      </c>
      <c r="H11" s="49" t="e">
        <f ca="1">IF($B11&gt;TODAY(),NA(),SUMIFS(RevenueTbl[Daily Revenue (R)],RevenueTbl[Business Group],H$3,RevenueTbl[Date],"&gt;="&amp;$B11,RevenueTbl[Date],"&lt;"&amp;EDATE($B11,1)))</f>
        <v>#N/A</v>
      </c>
      <c r="I11" s="49" t="e">
        <f ca="1">IF($B11&gt;TODAY(),NA(),SUMIFS(RevenueTbl[Daily Revenue (R)],RevenueTbl[Business Group],I$3,RevenueTbl[Date],"&gt;="&amp;$B11,RevenueTbl[Date],"&lt;"&amp;EDATE($B11,1)))</f>
        <v>#N/A</v>
      </c>
      <c r="J11" s="49" t="e">
        <f ca="1">IF($B11&gt;TODAY(),NA(),SUMIFS(RevenueTbl[Daily Revenue (R)],RevenueTbl[Business Group],J$3,RevenueTbl[Date],"&gt;="&amp;$B11,RevenueTbl[Date],"&lt;"&amp;EDATE($B11,1)))</f>
        <v>#N/A</v>
      </c>
      <c r="K11" s="49" t="e">
        <f ca="1">IF($B11&gt;TODAY(),NA(),SUMIFS(RevenueTbl[Daily Revenue (R)],RevenueTbl[Business Group],K$3,RevenueTbl[Date],"&gt;="&amp;$B11,RevenueTbl[Date],"&lt;"&amp;EDATE($B11,1)))</f>
        <v>#N/A</v>
      </c>
      <c r="L11" s="49" t="e">
        <f t="shared" ca="1" si="2"/>
        <v>#N/A</v>
      </c>
      <c r="M11" s="49" t="e">
        <f ca="1">IF($B11&gt;TODAY(),NA(),SUM($N$4:N11))</f>
        <v>#N/A</v>
      </c>
      <c r="N11" s="49">
        <f t="shared" ca="1" si="3"/>
        <v>0</v>
      </c>
      <c r="O11" s="48">
        <f t="shared" ca="1" si="4"/>
        <v>0</v>
      </c>
    </row>
    <row r="12" spans="1:15" x14ac:dyDescent="0.25">
      <c r="A12" t="str">
        <f t="shared" ca="1" si="0"/>
        <v>Sep</v>
      </c>
      <c r="B12" s="2">
        <f ca="1">DATE(Calculations!$B$4,9,1)</f>
        <v>46266</v>
      </c>
      <c r="C12" s="48" t="e">
        <f ca="1">IF($B12&gt;TODAY(),NA(),SUMIFS(DemandTbl[Daily Leads (count)],DemandTbl[Business Group],C$3,DemandTbl[Date],"&gt;="&amp;$B12,DemandTbl[Date],"&lt;"&amp;EDATE($B12,1)))</f>
        <v>#N/A</v>
      </c>
      <c r="D12" s="48" t="e">
        <f ca="1">IF($B12&gt;TODAY(),NA(),SUMIFS(DemandTbl[Daily Leads (count)],DemandTbl[Business Group],D$3,DemandTbl[Date],"&gt;="&amp;$B12,DemandTbl[Date],"&lt;"&amp;EDATE($B12,1)))</f>
        <v>#N/A</v>
      </c>
      <c r="E12" s="48" t="e">
        <f ca="1">IF($B12&gt;TODAY(),NA(),SUMIFS(DemandTbl[Daily Leads (count)],DemandTbl[Business Group],E$3,DemandTbl[Date],"&gt;="&amp;$B12,DemandTbl[Date],"&lt;"&amp;EDATE($B12,1)))</f>
        <v>#N/A</v>
      </c>
      <c r="F12" s="48" t="e">
        <f ca="1">IF($B12&gt;TODAY(),NA(),SUMIFS(DemandTbl[Daily Leads (count)],DemandTbl[Business Group],F$3,DemandTbl[Date],"&gt;="&amp;$B12,DemandTbl[Date],"&lt;"&amp;EDATE($B12,1)))</f>
        <v>#N/A</v>
      </c>
      <c r="G12" s="48" t="e">
        <f t="shared" ca="1" si="1"/>
        <v>#N/A</v>
      </c>
      <c r="H12" s="49" t="e">
        <f ca="1">IF($B12&gt;TODAY(),NA(),SUMIFS(RevenueTbl[Daily Revenue (R)],RevenueTbl[Business Group],H$3,RevenueTbl[Date],"&gt;="&amp;$B12,RevenueTbl[Date],"&lt;"&amp;EDATE($B12,1)))</f>
        <v>#N/A</v>
      </c>
      <c r="I12" s="49" t="e">
        <f ca="1">IF($B12&gt;TODAY(),NA(),SUMIFS(RevenueTbl[Daily Revenue (R)],RevenueTbl[Business Group],I$3,RevenueTbl[Date],"&gt;="&amp;$B12,RevenueTbl[Date],"&lt;"&amp;EDATE($B12,1)))</f>
        <v>#N/A</v>
      </c>
      <c r="J12" s="49" t="e">
        <f ca="1">IF($B12&gt;TODAY(),NA(),SUMIFS(RevenueTbl[Daily Revenue (R)],RevenueTbl[Business Group],J$3,RevenueTbl[Date],"&gt;="&amp;$B12,RevenueTbl[Date],"&lt;"&amp;EDATE($B12,1)))</f>
        <v>#N/A</v>
      </c>
      <c r="K12" s="49" t="e">
        <f ca="1">IF($B12&gt;TODAY(),NA(),SUMIFS(RevenueTbl[Daily Revenue (R)],RevenueTbl[Business Group],K$3,RevenueTbl[Date],"&gt;="&amp;$B12,RevenueTbl[Date],"&lt;"&amp;EDATE($B12,1)))</f>
        <v>#N/A</v>
      </c>
      <c r="L12" s="49" t="e">
        <f t="shared" ca="1" si="2"/>
        <v>#N/A</v>
      </c>
      <c r="M12" s="49" t="e">
        <f ca="1">IF($B12&gt;TODAY(),NA(),SUM($N$4:N12))</f>
        <v>#N/A</v>
      </c>
      <c r="N12" s="49">
        <f t="shared" ca="1" si="3"/>
        <v>0</v>
      </c>
      <c r="O12" s="48">
        <f t="shared" ca="1" si="4"/>
        <v>0</v>
      </c>
    </row>
    <row r="13" spans="1:15" x14ac:dyDescent="0.25">
      <c r="A13" t="str">
        <f t="shared" ca="1" si="0"/>
        <v>Oct</v>
      </c>
      <c r="B13" s="2">
        <f ca="1">DATE(Calculations!$B$4,10,1)</f>
        <v>46296</v>
      </c>
      <c r="C13" s="48" t="e">
        <f ca="1">IF($B13&gt;TODAY(),NA(),SUMIFS(DemandTbl[Daily Leads (count)],DemandTbl[Business Group],C$3,DemandTbl[Date],"&gt;="&amp;$B13,DemandTbl[Date],"&lt;"&amp;EDATE($B13,1)))</f>
        <v>#N/A</v>
      </c>
      <c r="D13" s="48" t="e">
        <f ca="1">IF($B13&gt;TODAY(),NA(),SUMIFS(DemandTbl[Daily Leads (count)],DemandTbl[Business Group],D$3,DemandTbl[Date],"&gt;="&amp;$B13,DemandTbl[Date],"&lt;"&amp;EDATE($B13,1)))</f>
        <v>#N/A</v>
      </c>
      <c r="E13" s="48" t="e">
        <f ca="1">IF($B13&gt;TODAY(),NA(),SUMIFS(DemandTbl[Daily Leads (count)],DemandTbl[Business Group],E$3,DemandTbl[Date],"&gt;="&amp;$B13,DemandTbl[Date],"&lt;"&amp;EDATE($B13,1)))</f>
        <v>#N/A</v>
      </c>
      <c r="F13" s="48" t="e">
        <f ca="1">IF($B13&gt;TODAY(),NA(),SUMIFS(DemandTbl[Daily Leads (count)],DemandTbl[Business Group],F$3,DemandTbl[Date],"&gt;="&amp;$B13,DemandTbl[Date],"&lt;"&amp;EDATE($B13,1)))</f>
        <v>#N/A</v>
      </c>
      <c r="G13" s="48" t="e">
        <f t="shared" ca="1" si="1"/>
        <v>#N/A</v>
      </c>
      <c r="H13" s="49" t="e">
        <f ca="1">IF($B13&gt;TODAY(),NA(),SUMIFS(RevenueTbl[Daily Revenue (R)],RevenueTbl[Business Group],H$3,RevenueTbl[Date],"&gt;="&amp;$B13,RevenueTbl[Date],"&lt;"&amp;EDATE($B13,1)))</f>
        <v>#N/A</v>
      </c>
      <c r="I13" s="49" t="e">
        <f ca="1">IF($B13&gt;TODAY(),NA(),SUMIFS(RevenueTbl[Daily Revenue (R)],RevenueTbl[Business Group],I$3,RevenueTbl[Date],"&gt;="&amp;$B13,RevenueTbl[Date],"&lt;"&amp;EDATE($B13,1)))</f>
        <v>#N/A</v>
      </c>
      <c r="J13" s="49" t="e">
        <f ca="1">IF($B13&gt;TODAY(),NA(),SUMIFS(RevenueTbl[Daily Revenue (R)],RevenueTbl[Business Group],J$3,RevenueTbl[Date],"&gt;="&amp;$B13,RevenueTbl[Date],"&lt;"&amp;EDATE($B13,1)))</f>
        <v>#N/A</v>
      </c>
      <c r="K13" s="49" t="e">
        <f ca="1">IF($B13&gt;TODAY(),NA(),SUMIFS(RevenueTbl[Daily Revenue (R)],RevenueTbl[Business Group],K$3,RevenueTbl[Date],"&gt;="&amp;$B13,RevenueTbl[Date],"&lt;"&amp;EDATE($B13,1)))</f>
        <v>#N/A</v>
      </c>
      <c r="L13" s="49" t="e">
        <f t="shared" ca="1" si="2"/>
        <v>#N/A</v>
      </c>
      <c r="M13" s="49" t="e">
        <f ca="1">IF($B13&gt;TODAY(),NA(),SUM($N$4:N13))</f>
        <v>#N/A</v>
      </c>
      <c r="N13" s="49">
        <f t="shared" ca="1" si="3"/>
        <v>0</v>
      </c>
      <c r="O13" s="48">
        <f t="shared" ca="1" si="4"/>
        <v>0</v>
      </c>
    </row>
    <row r="14" spans="1:15" x14ac:dyDescent="0.25">
      <c r="A14" t="str">
        <f t="shared" ca="1" si="0"/>
        <v>Nov</v>
      </c>
      <c r="B14" s="2">
        <f ca="1">DATE(Calculations!$B$4,11,1)</f>
        <v>46327</v>
      </c>
      <c r="C14" s="48" t="e">
        <f ca="1">IF($B14&gt;TODAY(),NA(),SUMIFS(DemandTbl[Daily Leads (count)],DemandTbl[Business Group],C$3,DemandTbl[Date],"&gt;="&amp;$B14,DemandTbl[Date],"&lt;"&amp;EDATE($B14,1)))</f>
        <v>#N/A</v>
      </c>
      <c r="D14" s="48" t="e">
        <f ca="1">IF($B14&gt;TODAY(),NA(),SUMIFS(DemandTbl[Daily Leads (count)],DemandTbl[Business Group],D$3,DemandTbl[Date],"&gt;="&amp;$B14,DemandTbl[Date],"&lt;"&amp;EDATE($B14,1)))</f>
        <v>#N/A</v>
      </c>
      <c r="E14" s="48" t="e">
        <f ca="1">IF($B14&gt;TODAY(),NA(),SUMIFS(DemandTbl[Daily Leads (count)],DemandTbl[Business Group],E$3,DemandTbl[Date],"&gt;="&amp;$B14,DemandTbl[Date],"&lt;"&amp;EDATE($B14,1)))</f>
        <v>#N/A</v>
      </c>
      <c r="F14" s="48" t="e">
        <f ca="1">IF($B14&gt;TODAY(),NA(),SUMIFS(DemandTbl[Daily Leads (count)],DemandTbl[Business Group],F$3,DemandTbl[Date],"&gt;="&amp;$B14,DemandTbl[Date],"&lt;"&amp;EDATE($B14,1)))</f>
        <v>#N/A</v>
      </c>
      <c r="G14" s="48" t="e">
        <f t="shared" ca="1" si="1"/>
        <v>#N/A</v>
      </c>
      <c r="H14" s="49" t="e">
        <f ca="1">IF($B14&gt;TODAY(),NA(),SUMIFS(RevenueTbl[Daily Revenue (R)],RevenueTbl[Business Group],H$3,RevenueTbl[Date],"&gt;="&amp;$B14,RevenueTbl[Date],"&lt;"&amp;EDATE($B14,1)))</f>
        <v>#N/A</v>
      </c>
      <c r="I14" s="49" t="e">
        <f ca="1">IF($B14&gt;TODAY(),NA(),SUMIFS(RevenueTbl[Daily Revenue (R)],RevenueTbl[Business Group],I$3,RevenueTbl[Date],"&gt;="&amp;$B14,RevenueTbl[Date],"&lt;"&amp;EDATE($B14,1)))</f>
        <v>#N/A</v>
      </c>
      <c r="J14" s="49" t="e">
        <f ca="1">IF($B14&gt;TODAY(),NA(),SUMIFS(RevenueTbl[Daily Revenue (R)],RevenueTbl[Business Group],J$3,RevenueTbl[Date],"&gt;="&amp;$B14,RevenueTbl[Date],"&lt;"&amp;EDATE($B14,1)))</f>
        <v>#N/A</v>
      </c>
      <c r="K14" s="49" t="e">
        <f ca="1">IF($B14&gt;TODAY(),NA(),SUMIFS(RevenueTbl[Daily Revenue (R)],RevenueTbl[Business Group],K$3,RevenueTbl[Date],"&gt;="&amp;$B14,RevenueTbl[Date],"&lt;"&amp;EDATE($B14,1)))</f>
        <v>#N/A</v>
      </c>
      <c r="L14" s="49" t="e">
        <f t="shared" ca="1" si="2"/>
        <v>#N/A</v>
      </c>
      <c r="M14" s="49" t="e">
        <f ca="1">IF($B14&gt;TODAY(),NA(),SUM($N$4:N14))</f>
        <v>#N/A</v>
      </c>
      <c r="N14" s="49">
        <f t="shared" ca="1" si="3"/>
        <v>0</v>
      </c>
      <c r="O14" s="48">
        <f t="shared" ca="1" si="4"/>
        <v>0</v>
      </c>
    </row>
    <row r="15" spans="1:15" x14ac:dyDescent="0.25">
      <c r="A15" t="str">
        <f t="shared" ca="1" si="0"/>
        <v>Dec</v>
      </c>
      <c r="B15" s="2">
        <f ca="1">DATE(Calculations!$B$4,12,1)</f>
        <v>46357</v>
      </c>
      <c r="C15" s="48" t="e">
        <f ca="1">IF($B15&gt;TODAY(),NA(),SUMIFS(DemandTbl[Daily Leads (count)],DemandTbl[Business Group],C$3,DemandTbl[Date],"&gt;="&amp;$B15,DemandTbl[Date],"&lt;"&amp;EDATE($B15,1)))</f>
        <v>#N/A</v>
      </c>
      <c r="D15" s="48" t="e">
        <f ca="1">IF($B15&gt;TODAY(),NA(),SUMIFS(DemandTbl[Daily Leads (count)],DemandTbl[Business Group],D$3,DemandTbl[Date],"&gt;="&amp;$B15,DemandTbl[Date],"&lt;"&amp;EDATE($B15,1)))</f>
        <v>#N/A</v>
      </c>
      <c r="E15" s="48" t="e">
        <f ca="1">IF($B15&gt;TODAY(),NA(),SUMIFS(DemandTbl[Daily Leads (count)],DemandTbl[Business Group],E$3,DemandTbl[Date],"&gt;="&amp;$B15,DemandTbl[Date],"&lt;"&amp;EDATE($B15,1)))</f>
        <v>#N/A</v>
      </c>
      <c r="F15" s="48" t="e">
        <f ca="1">IF($B15&gt;TODAY(),NA(),SUMIFS(DemandTbl[Daily Leads (count)],DemandTbl[Business Group],F$3,DemandTbl[Date],"&gt;="&amp;$B15,DemandTbl[Date],"&lt;"&amp;EDATE($B15,1)))</f>
        <v>#N/A</v>
      </c>
      <c r="G15" s="48" t="e">
        <f t="shared" ca="1" si="1"/>
        <v>#N/A</v>
      </c>
      <c r="H15" s="49" t="e">
        <f ca="1">IF($B15&gt;TODAY(),NA(),SUMIFS(RevenueTbl[Daily Revenue (R)],RevenueTbl[Business Group],H$3,RevenueTbl[Date],"&gt;="&amp;$B15,RevenueTbl[Date],"&lt;"&amp;EDATE($B15,1)))</f>
        <v>#N/A</v>
      </c>
      <c r="I15" s="49" t="e">
        <f ca="1">IF($B15&gt;TODAY(),NA(),SUMIFS(RevenueTbl[Daily Revenue (R)],RevenueTbl[Business Group],I$3,RevenueTbl[Date],"&gt;="&amp;$B15,RevenueTbl[Date],"&lt;"&amp;EDATE($B15,1)))</f>
        <v>#N/A</v>
      </c>
      <c r="J15" s="49" t="e">
        <f ca="1">IF($B15&gt;TODAY(),NA(),SUMIFS(RevenueTbl[Daily Revenue (R)],RevenueTbl[Business Group],J$3,RevenueTbl[Date],"&gt;="&amp;$B15,RevenueTbl[Date],"&lt;"&amp;EDATE($B15,1)))</f>
        <v>#N/A</v>
      </c>
      <c r="K15" s="49" t="e">
        <f ca="1">IF($B15&gt;TODAY(),NA(),SUMIFS(RevenueTbl[Daily Revenue (R)],RevenueTbl[Business Group],K$3,RevenueTbl[Date],"&gt;="&amp;$B15,RevenueTbl[Date],"&lt;"&amp;EDATE($B15,1)))</f>
        <v>#N/A</v>
      </c>
      <c r="L15" s="49" t="e">
        <f t="shared" ca="1" si="2"/>
        <v>#N/A</v>
      </c>
      <c r="M15" s="49" t="e">
        <f ca="1">IF($B15&gt;TODAY(),NA(),SUM($N$4:N15))</f>
        <v>#N/A</v>
      </c>
      <c r="N15" s="49">
        <f t="shared" ca="1" si="3"/>
        <v>0</v>
      </c>
      <c r="O15" s="48">
        <f t="shared" ca="1" si="4"/>
        <v>0</v>
      </c>
    </row>
    <row r="18" spans="1:7" x14ac:dyDescent="0.25">
      <c r="A18" s="47" t="s">
        <v>45</v>
      </c>
      <c r="B18" s="47" t="s">
        <v>46</v>
      </c>
      <c r="C18" s="47" t="s">
        <v>5</v>
      </c>
      <c r="D18" s="47" t="s">
        <v>47</v>
      </c>
    </row>
    <row r="19" spans="1:7" x14ac:dyDescent="0.25">
      <c r="A19" t="s">
        <v>48</v>
      </c>
      <c r="B19" s="2">
        <f ca="1">DATE(Calculations!$B$4,1,1)</f>
        <v>46023</v>
      </c>
      <c r="C19" s="48">
        <f ca="1">IF($B19&gt;TODAY(),NA(),SUM(O4:O6))</f>
        <v>1522</v>
      </c>
      <c r="D19" s="49">
        <f ca="1">IF($B19&gt;TODAY(),NA(),SUM(N4:N6))</f>
        <v>78450</v>
      </c>
    </row>
    <row r="20" spans="1:7" x14ac:dyDescent="0.25">
      <c r="A20" t="s">
        <v>49</v>
      </c>
      <c r="B20" s="2">
        <f ca="1">DATE(Calculations!$B$4,4,1)</f>
        <v>46113</v>
      </c>
      <c r="C20" s="48">
        <f ca="1">IF($B20&gt;TODAY(),NA(),SUM(O7:O9))</f>
        <v>1965</v>
      </c>
      <c r="D20" s="49">
        <f ca="1">IF($B20&gt;TODAY(),NA(),SUM(N7:N9))</f>
        <v>104716</v>
      </c>
    </row>
    <row r="21" spans="1:7" x14ac:dyDescent="0.25">
      <c r="A21" t="s">
        <v>50</v>
      </c>
      <c r="B21" s="2">
        <f ca="1">DATE(Calculations!$B$4,7,1)</f>
        <v>46204</v>
      </c>
      <c r="C21" s="48">
        <f ca="1">IF($B21&gt;TODAY(),NA(),SUM(O10:O12))</f>
        <v>774</v>
      </c>
      <c r="D21" s="49">
        <f ca="1">IF($B21&gt;TODAY(),NA(),SUM(N10:N12))</f>
        <v>44029</v>
      </c>
    </row>
    <row r="22" spans="1:7" x14ac:dyDescent="0.25">
      <c r="A22" t="s">
        <v>51</v>
      </c>
      <c r="B22" s="2">
        <f ca="1">DATE(Calculations!$B$4,10,1)</f>
        <v>46296</v>
      </c>
      <c r="C22" s="48" t="e">
        <f ca="1">IF($B22&gt;TODAY(),NA(),SUM(O13:O15))</f>
        <v>#N/A</v>
      </c>
      <c r="D22" s="49" t="e">
        <f ca="1">IF($B22&gt;TODAY(),NA(),SUM(N13:N15))</f>
        <v>#N/A</v>
      </c>
    </row>
    <row r="25" spans="1:7" x14ac:dyDescent="0.25">
      <c r="A25" s="47" t="s">
        <v>52</v>
      </c>
      <c r="B25" s="47" t="s">
        <v>53</v>
      </c>
      <c r="C25" s="47" t="s">
        <v>54</v>
      </c>
      <c r="E25" s="47" t="s">
        <v>55</v>
      </c>
      <c r="F25" s="47" t="s">
        <v>56</v>
      </c>
      <c r="G25" s="47" t="s">
        <v>54</v>
      </c>
    </row>
    <row r="26" spans="1:7" x14ac:dyDescent="0.25">
      <c r="A26" t="str">
        <f>Calculations!A14</f>
        <v>JSE SheInvests</v>
      </c>
      <c r="B26" s="48">
        <f ca="1">Calculations!I14</f>
        <v>986</v>
      </c>
      <c r="C26" s="50">
        <f ca="1">B26/SUM($B$26:$B$29)</f>
        <v>0.23140107955878902</v>
      </c>
      <c r="E26" t="str">
        <f>Calculations!A23</f>
        <v>Primary Markets</v>
      </c>
      <c r="F26" s="49">
        <f ca="1">Calculations!I23</f>
        <v>48560</v>
      </c>
      <c r="G26" s="50">
        <f ca="1">F26/SUM($F$26:$F$29)</f>
        <v>0.21373709808754593</v>
      </c>
    </row>
    <row r="27" spans="1:7" x14ac:dyDescent="0.25">
      <c r="A27" t="str">
        <f>Calculations!A15</f>
        <v>Digital Marketing</v>
      </c>
      <c r="B27" s="48">
        <f ca="1">Calculations!I15</f>
        <v>1075</v>
      </c>
      <c r="C27" s="50">
        <f ca="1">B27/SUM($B$26:$B$29)</f>
        <v>0.25228819525932877</v>
      </c>
      <c r="E27" t="str">
        <f>Calculations!A24</f>
        <v>Secondary Markets</v>
      </c>
      <c r="F27" s="49">
        <f ca="1">Calculations!I24</f>
        <v>65304</v>
      </c>
      <c r="G27" s="50">
        <f ca="1">F27/SUM($F$26:$F$29)</f>
        <v>0.28743590307885297</v>
      </c>
    </row>
    <row r="28" spans="1:7" x14ac:dyDescent="0.25">
      <c r="A28" t="str">
        <f>Calculations!A16</f>
        <v>Events</v>
      </c>
      <c r="B28" s="48">
        <f ca="1">Calculations!I16</f>
        <v>1112</v>
      </c>
      <c r="C28" s="50">
        <f ca="1">B28/SUM($B$26:$B$29)</f>
        <v>0.26097160291011501</v>
      </c>
      <c r="E28" t="str">
        <f>Calculations!A25</f>
        <v>Information Services</v>
      </c>
      <c r="F28" s="49">
        <f ca="1">Calculations!I25</f>
        <v>59335</v>
      </c>
      <c r="G28" s="50">
        <f ca="1">F28/SUM($F$26:$F$29)</f>
        <v>0.26116331785470631</v>
      </c>
    </row>
    <row r="29" spans="1:7" x14ac:dyDescent="0.25">
      <c r="A29" t="str">
        <f>Calculations!A17</f>
        <v>Marketing Services</v>
      </c>
      <c r="B29" s="48">
        <f ca="1">Calculations!I17</f>
        <v>1088</v>
      </c>
      <c r="C29" s="50">
        <f ca="1">B29/SUM($B$26:$B$29)</f>
        <v>0.25533912227176719</v>
      </c>
      <c r="E29" t="str">
        <f>Calculations!A26</f>
        <v>Issuer Services</v>
      </c>
      <c r="F29" s="49">
        <f ca="1">Calculations!I26</f>
        <v>53996</v>
      </c>
      <c r="G29" s="50">
        <f ca="1">F29/SUM($F$26:$F$29)</f>
        <v>0.23766368097889479</v>
      </c>
    </row>
    <row r="32" spans="1:7" x14ac:dyDescent="0.25">
      <c r="A32" s="47" t="s">
        <v>57</v>
      </c>
    </row>
    <row r="33" spans="1:2" x14ac:dyDescent="0.25">
      <c r="A33" t="s">
        <v>53</v>
      </c>
      <c r="B33" s="48">
        <f ca="1">Calculations!I18</f>
        <v>4261</v>
      </c>
    </row>
    <row r="34" spans="1:2" x14ac:dyDescent="0.25">
      <c r="A34" t="s">
        <v>56</v>
      </c>
      <c r="B34" s="49">
        <f ca="1">Calculations!I27</f>
        <v>227195</v>
      </c>
    </row>
    <row r="35" spans="1:2" x14ac:dyDescent="0.25">
      <c r="A35" t="s">
        <v>58</v>
      </c>
      <c r="B35" s="51">
        <f ca="1">IFERROR(Calculations!I27/Calculations!I18,0)</f>
        <v>53.319643276226238</v>
      </c>
    </row>
    <row r="36" spans="1:2" x14ac:dyDescent="0.25">
      <c r="A36" t="s">
        <v>59</v>
      </c>
      <c r="B36" t="str">
        <f ca="1">INDEX($A$4:$A$15,MATCH(MAX($N$4:$N$15),$N$4:$N$15,0))</f>
        <v>May</v>
      </c>
    </row>
    <row r="37" spans="1:2" x14ac:dyDescent="0.25">
      <c r="A37" t="s">
        <v>60</v>
      </c>
      <c r="B37" t="str">
        <f ca="1">INDEX($E$26:$E$29,MATCH(MAX($F$26:$F$29),$F$26:$F$29,0))</f>
        <v>Secondary Markets</v>
      </c>
    </row>
    <row r="38" spans="1:2" x14ac:dyDescent="0.25">
      <c r="A38" t="s">
        <v>61</v>
      </c>
      <c r="B38" t="str">
        <f ca="1">INDEX($A$26:$A$29,MATCH(MAX($B$26:$B$29),$B$26:$B$29,0))</f>
        <v>Events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98781"/>
  </sheetPr>
  <dimension ref="A1:I27"/>
  <sheetViews>
    <sheetView zoomScaleNormal="100" workbookViewId="0">
      <selection activeCell="H34" sqref="H34"/>
    </sheetView>
  </sheetViews>
  <sheetFormatPr defaultColWidth="8.7109375" defaultRowHeight="15" x14ac:dyDescent="0.25"/>
  <cols>
    <col min="1" max="1" width="20" customWidth="1"/>
    <col min="2" max="2" width="28" customWidth="1"/>
    <col min="3" max="4" width="12" customWidth="1"/>
    <col min="5" max="5" width="8" customWidth="1"/>
    <col min="6" max="7" width="12" customWidth="1"/>
    <col min="8" max="8" width="8" customWidth="1"/>
    <col min="9" max="9" width="12" customWidth="1"/>
  </cols>
  <sheetData>
    <row r="1" spans="1:9" x14ac:dyDescent="0.25">
      <c r="A1" s="3" t="s">
        <v>62</v>
      </c>
    </row>
    <row r="2" spans="1:9" x14ac:dyDescent="0.25">
      <c r="A2" t="s">
        <v>63</v>
      </c>
      <c r="B2" s="2">
        <f ca="1">TODAY()</f>
        <v>46232</v>
      </c>
    </row>
    <row r="3" spans="1:9" x14ac:dyDescent="0.25">
      <c r="A3" t="s">
        <v>64</v>
      </c>
      <c r="B3">
        <f ca="1">MONTH(B2)</f>
        <v>7</v>
      </c>
    </row>
    <row r="4" spans="1:9" x14ac:dyDescent="0.25">
      <c r="A4" t="s">
        <v>65</v>
      </c>
      <c r="B4">
        <f ca="1">YEAR(B2)</f>
        <v>2026</v>
      </c>
    </row>
    <row r="5" spans="1:9" x14ac:dyDescent="0.25">
      <c r="A5" t="s">
        <v>66</v>
      </c>
      <c r="B5">
        <f ca="1">IF(B3=1,12,B3-1)</f>
        <v>6</v>
      </c>
    </row>
    <row r="6" spans="1:9" x14ac:dyDescent="0.25">
      <c r="A6" t="s">
        <v>67</v>
      </c>
      <c r="B6">
        <f ca="1">IF(B3=1,B4-1,B4)</f>
        <v>2026</v>
      </c>
    </row>
    <row r="7" spans="1:9" x14ac:dyDescent="0.25">
      <c r="A7" t="s">
        <v>68</v>
      </c>
      <c r="B7">
        <f ca="1">ROUNDUP(B3/3,0)</f>
        <v>3</v>
      </c>
    </row>
    <row r="8" spans="1:9" x14ac:dyDescent="0.25">
      <c r="A8" t="s">
        <v>69</v>
      </c>
      <c r="B8">
        <f ca="1">IF(B7=1,4,B7-1)</f>
        <v>2</v>
      </c>
    </row>
    <row r="9" spans="1:9" x14ac:dyDescent="0.25">
      <c r="A9" t="s">
        <v>70</v>
      </c>
      <c r="B9">
        <f ca="1">IF(B7=1,B4-1,B4)</f>
        <v>2026</v>
      </c>
    </row>
    <row r="10" spans="1:9" x14ac:dyDescent="0.25">
      <c r="A10" t="s">
        <v>71</v>
      </c>
      <c r="B10" s="2">
        <f ca="1">DATE(B4,1,1)</f>
        <v>46023</v>
      </c>
    </row>
    <row r="12" spans="1:9" ht="15.75" customHeight="1" x14ac:dyDescent="0.25">
      <c r="A12" s="4" t="s">
        <v>72</v>
      </c>
    </row>
    <row r="13" spans="1:9" x14ac:dyDescent="0.25">
      <c r="A13" s="5" t="s">
        <v>7</v>
      </c>
      <c r="B13" s="5" t="s">
        <v>73</v>
      </c>
      <c r="C13" s="5" t="s">
        <v>64</v>
      </c>
      <c r="D13" s="5" t="s">
        <v>66</v>
      </c>
      <c r="E13" s="5" t="s">
        <v>74</v>
      </c>
      <c r="F13" s="5" t="s">
        <v>68</v>
      </c>
      <c r="G13" s="5" t="s">
        <v>69</v>
      </c>
      <c r="H13" s="5" t="s">
        <v>75</v>
      </c>
      <c r="I13" s="5" t="s">
        <v>2</v>
      </c>
    </row>
    <row r="14" spans="1:9" x14ac:dyDescent="0.25">
      <c r="A14" t="s">
        <v>32</v>
      </c>
      <c r="B14" t="s">
        <v>76</v>
      </c>
      <c r="C14">
        <f ca="1">IFERROR(SUMIFS(DemandTbl[Daily Leads (count)],DemandTbl[Business Group],$A14,DemandTbl[Date],"&gt;="&amp;DATE($B$4,$B$3,1),DemandTbl[Date],"&lt;"&amp;DATE($B$4,$B$3+1,1)),0)</f>
        <v>191</v>
      </c>
      <c r="D14">
        <f ca="1">IFERROR(SUMIFS(DemandTbl[Daily Leads (count)],DemandTbl[Business Group],$A14,DemandTbl[Date],"&gt;="&amp;DATE($B$6,$B$5,1),DemandTbl[Date],"&lt;"&amp;DATE($B$6,$B$5+1,1)),0)</f>
        <v>188</v>
      </c>
      <c r="E14" s="6">
        <f ca="1">IFERROR((C14-D14)/D14,"")</f>
        <v>1.5957446808510637E-2</v>
      </c>
      <c r="F14">
        <f ca="1">IFERROR(SUMIFS(DemandTbl[Daily Leads (count)],DemandTbl[Business Group],$A14,DemandTbl[Date],"&gt;="&amp;DATE($B$4,($B$7-1)*3+1,1),DemandTbl[Date],"&lt;"&amp;DATE($B$4,$B$7*3+1,1)),0)</f>
        <v>191</v>
      </c>
      <c r="G14">
        <f ca="1">IFERROR(SUMIFS(DemandTbl[Daily Leads (count)],DemandTbl[Business Group],$A14,DemandTbl[Date],"&gt;="&amp;DATE($B$9,($B$8-1)*3+1,1),DemandTbl[Date],"&lt;"&amp;EDATE(DATE($B$9,($B$8-1)*3+1,1),3)),0)</f>
        <v>417</v>
      </c>
      <c r="H14" s="6">
        <f ca="1">IFERROR((F14-G14)/G14,"")</f>
        <v>-0.54196642685851315</v>
      </c>
      <c r="I14">
        <f ca="1">IFERROR(SUMIFS(DemandTbl[Daily Leads (count)],DemandTbl[Business Group],$A14,DemandTbl[Date],"&gt;="&amp;$B$10,DemandTbl[Date],"&lt;="&amp;$B$2),0)</f>
        <v>986</v>
      </c>
    </row>
    <row r="15" spans="1:9" x14ac:dyDescent="0.25">
      <c r="A15" t="s">
        <v>33</v>
      </c>
      <c r="B15" t="s">
        <v>77</v>
      </c>
      <c r="C15">
        <f ca="1">IFERROR(SUMIFS(DemandTbl[Daily Leads (count)],DemandTbl[Business Group],$A15,DemandTbl[Date],"&gt;="&amp;DATE($B$4,$B$3,1),DemandTbl[Date],"&lt;"&amp;DATE($B$4,$B$3+1,1)),0)</f>
        <v>205</v>
      </c>
      <c r="D15">
        <f ca="1">IFERROR(SUMIFS(DemandTbl[Daily Leads (count)],DemandTbl[Business Group],$A15,DemandTbl[Date],"&gt;="&amp;DATE($B$6,$B$5,1),DemandTbl[Date],"&lt;"&amp;DATE($B$6,$B$5+1,1)),0)</f>
        <v>161</v>
      </c>
      <c r="E15" s="6">
        <f ca="1">IFERROR((C15-D15)/D15,"")</f>
        <v>0.27329192546583853</v>
      </c>
      <c r="F15">
        <f ca="1">IFERROR(SUMIFS(DemandTbl[Daily Leads (count)],DemandTbl[Business Group],$A15,DemandTbl[Date],"&gt;="&amp;DATE($B$4,($B$7-1)*3+1,1),DemandTbl[Date],"&lt;"&amp;DATE($B$4,$B$7*3+1,1)),0)</f>
        <v>205</v>
      </c>
      <c r="G15">
        <f ca="1">IFERROR(SUMIFS(DemandTbl[Daily Leads (count)],DemandTbl[Business Group],$A15,DemandTbl[Date],"&gt;="&amp;DATE($B$9,($B$8-1)*3+1,1),DemandTbl[Date],"&lt;"&amp;EDATE(DATE($B$9,($B$8-1)*3+1,1),3)),0)</f>
        <v>549</v>
      </c>
      <c r="H15" s="6">
        <f ca="1">IFERROR((F15-G15)/G15,"")</f>
        <v>-0.62659380692167577</v>
      </c>
      <c r="I15">
        <f ca="1">IFERROR(SUMIFS(DemandTbl[Daily Leads (count)],DemandTbl[Business Group],$A15,DemandTbl[Date],"&gt;="&amp;$B$10,DemandTbl[Date],"&lt;="&amp;$B$2),0)</f>
        <v>1075</v>
      </c>
    </row>
    <row r="16" spans="1:9" x14ac:dyDescent="0.25">
      <c r="A16" t="s">
        <v>34</v>
      </c>
      <c r="B16" t="s">
        <v>78</v>
      </c>
      <c r="C16">
        <f ca="1">IFERROR(SUMIFS(DemandTbl[Daily Leads (count)],DemandTbl[Business Group],$A16,DemandTbl[Date],"&gt;="&amp;DATE($B$4,$B$3,1),DemandTbl[Date],"&lt;"&amp;DATE($B$4,$B$3+1,1)),0)</f>
        <v>170</v>
      </c>
      <c r="D16">
        <f ca="1">IFERROR(SUMIFS(DemandTbl[Daily Leads (count)],DemandTbl[Business Group],$A16,DemandTbl[Date],"&gt;="&amp;DATE($B$6,$B$5,1),DemandTbl[Date],"&lt;"&amp;DATE($B$6,$B$5+1,1)),0)</f>
        <v>189</v>
      </c>
      <c r="E16" s="6">
        <f ca="1">IFERROR((C16-D16)/D16,"")</f>
        <v>-0.10052910052910052</v>
      </c>
      <c r="F16">
        <f ca="1">IFERROR(SUMIFS(DemandTbl[Daily Leads (count)],DemandTbl[Business Group],$A16,DemandTbl[Date],"&gt;="&amp;DATE($B$4,($B$7-1)*3+1,1),DemandTbl[Date],"&lt;"&amp;DATE($B$4,$B$7*3+1,1)),0)</f>
        <v>170</v>
      </c>
      <c r="G16">
        <f ca="1">IFERROR(SUMIFS(DemandTbl[Daily Leads (count)],DemandTbl[Business Group],$A16,DemandTbl[Date],"&gt;="&amp;DATE($B$9,($B$8-1)*3+1,1),DemandTbl[Date],"&lt;"&amp;EDATE(DATE($B$9,($B$8-1)*3+1,1),3)),0)</f>
        <v>513</v>
      </c>
      <c r="H16" s="6">
        <f ca="1">IFERROR((F16-G16)/G16,"")</f>
        <v>-0.66861598440545811</v>
      </c>
      <c r="I16">
        <f ca="1">IFERROR(SUMIFS(DemandTbl[Daily Leads (count)],DemandTbl[Business Group],$A16,DemandTbl[Date],"&gt;="&amp;$B$10,DemandTbl[Date],"&lt;="&amp;$B$2),0)</f>
        <v>1112</v>
      </c>
    </row>
    <row r="17" spans="1:9" x14ac:dyDescent="0.25">
      <c r="A17" t="s">
        <v>35</v>
      </c>
      <c r="B17" t="s">
        <v>38</v>
      </c>
      <c r="C17">
        <f ca="1">IFERROR(SUMIFS(DemandTbl[Daily Leads (count)],DemandTbl[Business Group],$A17,DemandTbl[Date],"&gt;="&amp;DATE($B$4,$B$3,1),DemandTbl[Date],"&lt;"&amp;DATE($B$4,$B$3+1,1)),0)</f>
        <v>208</v>
      </c>
      <c r="D17">
        <f ca="1">IFERROR(SUMIFS(DemandTbl[Daily Leads (count)],DemandTbl[Business Group],$A17,DemandTbl[Date],"&gt;="&amp;DATE($B$6,$B$5,1),DemandTbl[Date],"&lt;"&amp;DATE($B$6,$B$5+1,1)),0)</f>
        <v>152</v>
      </c>
      <c r="E17" s="6">
        <f ca="1">IFERROR((C17-D17)/D17,"")</f>
        <v>0.36842105263157893</v>
      </c>
      <c r="F17">
        <f ca="1">IFERROR(SUMIFS(DemandTbl[Daily Leads (count)],DemandTbl[Business Group],$A17,DemandTbl[Date],"&gt;="&amp;DATE($B$4,($B$7-1)*3+1,1),DemandTbl[Date],"&lt;"&amp;DATE($B$4,$B$7*3+1,1)),0)</f>
        <v>208</v>
      </c>
      <c r="G17">
        <f ca="1">IFERROR(SUMIFS(DemandTbl[Daily Leads (count)],DemandTbl[Business Group],$A17,DemandTbl[Date],"&gt;="&amp;DATE($B$9,($B$8-1)*3+1,1),DemandTbl[Date],"&lt;"&amp;EDATE(DATE($B$9,($B$8-1)*3+1,1),3)),0)</f>
        <v>486</v>
      </c>
      <c r="H17" s="6">
        <f ca="1">IFERROR((F17-G17)/G17,"")</f>
        <v>-0.57201646090534974</v>
      </c>
      <c r="I17">
        <f ca="1">IFERROR(SUMIFS(DemandTbl[Daily Leads (count)],DemandTbl[Business Group],$A17,DemandTbl[Date],"&gt;="&amp;$B$10,DemandTbl[Date],"&lt;="&amp;$B$2),0)</f>
        <v>1088</v>
      </c>
    </row>
    <row r="18" spans="1:9" x14ac:dyDescent="0.25">
      <c r="B18" s="7" t="s">
        <v>79</v>
      </c>
      <c r="I18" s="7">
        <f ca="1">SUM(I14:I17)</f>
        <v>4261</v>
      </c>
    </row>
    <row r="21" spans="1:9" ht="15.75" customHeight="1" x14ac:dyDescent="0.25">
      <c r="A21" s="4" t="s">
        <v>80</v>
      </c>
    </row>
    <row r="22" spans="1:9" x14ac:dyDescent="0.25">
      <c r="A22" s="5" t="s">
        <v>7</v>
      </c>
      <c r="B22" s="5" t="s">
        <v>73</v>
      </c>
      <c r="C22" s="5" t="s">
        <v>64</v>
      </c>
      <c r="D22" s="5" t="s">
        <v>66</v>
      </c>
      <c r="E22" s="5" t="s">
        <v>74</v>
      </c>
      <c r="F22" s="5" t="s">
        <v>68</v>
      </c>
      <c r="G22" s="5" t="s">
        <v>69</v>
      </c>
      <c r="H22" s="5" t="s">
        <v>75</v>
      </c>
      <c r="I22" s="5" t="s">
        <v>2</v>
      </c>
    </row>
    <row r="23" spans="1:9" x14ac:dyDescent="0.25">
      <c r="A23" t="s">
        <v>37</v>
      </c>
      <c r="B23" t="s">
        <v>81</v>
      </c>
      <c r="C23">
        <f ca="1">IFERROR(SUMIFS(RevenueTbl[Daily Revenue (R)],RevenueTbl[Business Group],$A23,RevenueTbl[Date],"&gt;="&amp;DATE($B$4,$B$3,1),RevenueTbl[Date],"&lt;"&amp;DATE($B$4,$B$3+1,1)),0)</f>
        <v>11572</v>
      </c>
      <c r="D23">
        <f ca="1">IFERROR(SUMIFS(RevenueTbl[Daily Revenue (R)],RevenueTbl[Business Group],$A23,RevenueTbl[Date],"&gt;="&amp;DATE($B$6,$B$5,1),RevenueTbl[Date],"&lt;"&amp;DATE($B$6,$B$5+1,1)),0)</f>
        <v>5991</v>
      </c>
      <c r="E23" s="6">
        <f ca="1">IFERROR((C23-D23)/D23,"")</f>
        <v>0.93156401268569522</v>
      </c>
      <c r="F23">
        <f ca="1">IFERROR(SUMIFS(RevenueTbl[Daily Revenue (R)],RevenueTbl[Business Group],$A23,RevenueTbl[Date],"&gt;="&amp;DATE($B$4,($B$7-1)*3+1,1),RevenueTbl[Date],"&lt;"&amp;DATE($B$4,$B$7*3+1,1)),0)</f>
        <v>11572</v>
      </c>
      <c r="G23">
        <f ca="1">IFERROR(SUMIFS(RevenueTbl[Daily Revenue (R)],RevenueTbl[Business Group],$A23,RevenueTbl[Date],"&gt;="&amp;DATE($B$9,($B$8-1)*3+1,1),RevenueTbl[Date],"&lt;"&amp;EDATE(DATE($B$9,($B$8-1)*3+1,1),3)),0)</f>
        <v>21728</v>
      </c>
      <c r="H23" s="6">
        <f ca="1">IFERROR((F23-G23)/G23,"")</f>
        <v>-0.46741531664212077</v>
      </c>
      <c r="I23">
        <f ca="1">IFERROR(SUMIFS(RevenueTbl[Daily Revenue (R)],RevenueTbl[Business Group],$A23,RevenueTbl[Date],"&gt;="&amp;$B$10,RevenueTbl[Date],"&lt;="&amp;$B$2),0)</f>
        <v>48560</v>
      </c>
    </row>
    <row r="24" spans="1:9" x14ac:dyDescent="0.25">
      <c r="A24" t="s">
        <v>38</v>
      </c>
      <c r="B24" t="s">
        <v>82</v>
      </c>
      <c r="C24">
        <f ca="1">IFERROR(SUMIFS(RevenueTbl[Daily Revenue (R)],RevenueTbl[Business Group],$A24,RevenueTbl[Date],"&gt;="&amp;DATE($B$4,$B$3,1),RevenueTbl[Date],"&lt;"&amp;DATE($B$4,$B$3+1,1)),0)</f>
        <v>7600</v>
      </c>
      <c r="D24">
        <f ca="1">IFERROR(SUMIFS(RevenueTbl[Daily Revenue (R)],RevenueTbl[Business Group],$A24,RevenueTbl[Date],"&gt;="&amp;DATE($B$6,$B$5,1),RevenueTbl[Date],"&lt;"&amp;DATE($B$6,$B$5+1,1)),0)</f>
        <v>11136</v>
      </c>
      <c r="E24" s="6">
        <f ca="1">IFERROR((C24-D24)/D24,"")</f>
        <v>-0.31752873563218392</v>
      </c>
      <c r="F24">
        <f ca="1">IFERROR(SUMIFS(RevenueTbl[Daily Revenue (R)],RevenueTbl[Business Group],$A24,RevenueTbl[Date],"&gt;="&amp;DATE($B$4,($B$7-1)*3+1,1),RevenueTbl[Date],"&lt;"&amp;DATE($B$4,$B$7*3+1,1)),0)</f>
        <v>7600</v>
      </c>
      <c r="G24">
        <f ca="1">IFERROR(SUMIFS(RevenueTbl[Daily Revenue (R)],RevenueTbl[Business Group],$A24,RevenueTbl[Date],"&gt;="&amp;DATE($B$9,($B$8-1)*3+1,1),RevenueTbl[Date],"&lt;"&amp;EDATE(DATE($B$9,($B$8-1)*3+1,1),3)),0)</f>
        <v>33991</v>
      </c>
      <c r="H24" s="6">
        <f ca="1">IFERROR((F24-G24)/G24,"")</f>
        <v>-0.77641140301844602</v>
      </c>
      <c r="I24">
        <f ca="1">IFERROR(SUMIFS(RevenueTbl[Daily Revenue (R)],RevenueTbl[Business Group],$A24,RevenueTbl[Date],"&gt;="&amp;$B$10,RevenueTbl[Date],"&lt;="&amp;$B$2),0)</f>
        <v>65304</v>
      </c>
    </row>
    <row r="25" spans="1:9" x14ac:dyDescent="0.25">
      <c r="A25" t="s">
        <v>39</v>
      </c>
      <c r="B25" t="s">
        <v>83</v>
      </c>
      <c r="C25">
        <f ca="1">IFERROR(SUMIFS(RevenueTbl[Daily Revenue (R)],RevenueTbl[Business Group],$A25,RevenueTbl[Date],"&gt;="&amp;DATE($B$4,$B$3,1),RevenueTbl[Date],"&lt;"&amp;DATE($B$4,$B$3+1,1)),0)</f>
        <v>8638</v>
      </c>
      <c r="D25">
        <f ca="1">IFERROR(SUMIFS(RevenueTbl[Daily Revenue (R)],RevenueTbl[Business Group],$A25,RevenueTbl[Date],"&gt;="&amp;DATE($B$6,$B$5,1),RevenueTbl[Date],"&lt;"&amp;DATE($B$6,$B$5+1,1)),0)</f>
        <v>5261</v>
      </c>
      <c r="E25" s="6">
        <f ca="1">IFERROR((C25-D25)/D25,"")</f>
        <v>0.64189317620224295</v>
      </c>
      <c r="F25">
        <f ca="1">IFERROR(SUMIFS(RevenueTbl[Daily Revenue (R)],RevenueTbl[Business Group],$A25,RevenueTbl[Date],"&gt;="&amp;DATE($B$4,($B$7-1)*3+1,1),RevenueTbl[Date],"&lt;"&amp;DATE($B$4,$B$7*3+1,1)),0)</f>
        <v>8638</v>
      </c>
      <c r="G25">
        <f ca="1">IFERROR(SUMIFS(RevenueTbl[Daily Revenue (R)],RevenueTbl[Business Group],$A25,RevenueTbl[Date],"&gt;="&amp;DATE($B$9,($B$8-1)*3+1,1),RevenueTbl[Date],"&lt;"&amp;EDATE(DATE($B$9,($B$8-1)*3+1,1),3)),0)</f>
        <v>32345</v>
      </c>
      <c r="H25" s="6">
        <f ca="1">IFERROR((F25-G25)/G25,"")</f>
        <v>-0.73294172205905084</v>
      </c>
      <c r="I25">
        <f ca="1">IFERROR(SUMIFS(RevenueTbl[Daily Revenue (R)],RevenueTbl[Business Group],$A25,RevenueTbl[Date],"&gt;="&amp;$B$10,RevenueTbl[Date],"&lt;="&amp;$B$2),0)</f>
        <v>59335</v>
      </c>
    </row>
    <row r="26" spans="1:9" x14ac:dyDescent="0.25">
      <c r="A26" t="s">
        <v>40</v>
      </c>
      <c r="B26" t="s">
        <v>84</v>
      </c>
      <c r="C26">
        <f ca="1">IFERROR(SUMIFS(RevenueTbl[Daily Revenue (R)],RevenueTbl[Business Group],$A26,RevenueTbl[Date],"&gt;="&amp;DATE($B$4,$B$3,1),RevenueTbl[Date],"&lt;"&amp;DATE($B$4,$B$3+1,1)),0)</f>
        <v>16219</v>
      </c>
      <c r="D26">
        <f ca="1">IFERROR(SUMIFS(RevenueTbl[Daily Revenue (R)],RevenueTbl[Business Group],$A26,RevenueTbl[Date],"&gt;="&amp;DATE($B$6,$B$5,1),RevenueTbl[Date],"&lt;"&amp;DATE($B$6,$B$5+1,1)),0)</f>
        <v>5410</v>
      </c>
      <c r="E26" s="6">
        <f ca="1">IFERROR((C26-D26)/D26,"")</f>
        <v>1.9979667282809612</v>
      </c>
      <c r="F26">
        <f ca="1">IFERROR(SUMIFS(RevenueTbl[Daily Revenue (R)],RevenueTbl[Business Group],$A26,RevenueTbl[Date],"&gt;="&amp;DATE($B$4,($B$7-1)*3+1,1),RevenueTbl[Date],"&lt;"&amp;DATE($B$4,$B$7*3+1,1)),0)</f>
        <v>16219</v>
      </c>
      <c r="G26">
        <f ca="1">IFERROR(SUMIFS(RevenueTbl[Daily Revenue (R)],RevenueTbl[Business Group],$A26,RevenueTbl[Date],"&gt;="&amp;DATE($B$9,($B$8-1)*3+1,1),RevenueTbl[Date],"&lt;"&amp;EDATE(DATE($B$9,($B$8-1)*3+1,1),3)),0)</f>
        <v>16652</v>
      </c>
      <c r="H26" s="6">
        <f ca="1">IFERROR((F26-G26)/G26,"")</f>
        <v>-2.6002882536632237E-2</v>
      </c>
      <c r="I26">
        <f ca="1">IFERROR(SUMIFS(RevenueTbl[Daily Revenue (R)],RevenueTbl[Business Group],$A26,RevenueTbl[Date],"&gt;="&amp;$B$10,RevenueTbl[Date],"&lt;="&amp;$B$2),0)</f>
        <v>53996</v>
      </c>
    </row>
    <row r="27" spans="1:9" x14ac:dyDescent="0.25">
      <c r="B27" s="7" t="s">
        <v>79</v>
      </c>
      <c r="I27" s="7">
        <f ca="1">SUM(I23:I26)</f>
        <v>227195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98781"/>
  </sheetPr>
  <dimension ref="A1:E9"/>
  <sheetViews>
    <sheetView workbookViewId="0"/>
  </sheetViews>
  <sheetFormatPr defaultRowHeight="15" x14ac:dyDescent="0.25"/>
  <cols>
    <col min="1" max="1" width="26" customWidth="1"/>
    <col min="2" max="2" width="30" customWidth="1"/>
    <col min="3" max="3" width="4" customWidth="1"/>
    <col min="4" max="4" width="26" customWidth="1"/>
    <col min="5" max="5" width="30" customWidth="1"/>
  </cols>
  <sheetData>
    <row r="1" spans="1:5" x14ac:dyDescent="0.25">
      <c r="A1" s="41" t="s">
        <v>88</v>
      </c>
    </row>
    <row r="3" spans="1:5" x14ac:dyDescent="0.25">
      <c r="A3" s="42" t="s">
        <v>89</v>
      </c>
      <c r="B3" s="42" t="s">
        <v>90</v>
      </c>
      <c r="D3" s="42" t="s">
        <v>91</v>
      </c>
      <c r="E3" s="42" t="s">
        <v>92</v>
      </c>
    </row>
    <row r="4" spans="1:5" x14ac:dyDescent="0.25">
      <c r="A4" t="s">
        <v>32</v>
      </c>
      <c r="B4" t="s">
        <v>76</v>
      </c>
      <c r="D4" t="s">
        <v>37</v>
      </c>
      <c r="E4" t="s">
        <v>81</v>
      </c>
    </row>
    <row r="5" spans="1:5" x14ac:dyDescent="0.25">
      <c r="A5" t="s">
        <v>33</v>
      </c>
      <c r="B5" t="s">
        <v>77</v>
      </c>
      <c r="D5" t="s">
        <v>38</v>
      </c>
      <c r="E5" t="s">
        <v>82</v>
      </c>
    </row>
    <row r="6" spans="1:5" x14ac:dyDescent="0.25">
      <c r="A6" t="s">
        <v>34</v>
      </c>
      <c r="B6" t="s">
        <v>78</v>
      </c>
      <c r="D6" t="s">
        <v>39</v>
      </c>
      <c r="E6" t="s">
        <v>83</v>
      </c>
    </row>
    <row r="7" spans="1:5" x14ac:dyDescent="0.25">
      <c r="A7" t="s">
        <v>35</v>
      </c>
      <c r="B7" t="s">
        <v>38</v>
      </c>
      <c r="D7" t="s">
        <v>40</v>
      </c>
      <c r="E7" t="s">
        <v>84</v>
      </c>
    </row>
    <row r="9" spans="1:5" x14ac:dyDescent="0.25">
      <c r="A9" s="41" t="s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5</vt:i4>
      </vt:variant>
    </vt:vector>
  </HeadingPairs>
  <TitlesOfParts>
    <vt:vector size="13" baseType="lpstr">
      <vt:lpstr>ReadMe</vt:lpstr>
      <vt:lpstr>MAIN DASHBOARD</vt:lpstr>
      <vt:lpstr>Analysis Dashboard</vt:lpstr>
      <vt:lpstr>Demand_Input</vt:lpstr>
      <vt:lpstr>Revenue_Input</vt:lpstr>
      <vt:lpstr>Analysis_Calc</vt:lpstr>
      <vt:lpstr>Calculations</vt:lpstr>
      <vt:lpstr>Lists</vt:lpstr>
      <vt:lpstr>DemandGroups</vt:lpstr>
      <vt:lpstr>DemandStreams</vt:lpstr>
      <vt:lpstr>'MAIN DASHBOARD'!Print_Area</vt:lpstr>
      <vt:lpstr>RevenueGroups</vt:lpstr>
      <vt:lpstr>RevenueStreams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Ndivhuwo Makhavhu</cp:lastModifiedBy>
  <cp:revision>0</cp:revision>
  <dcterms:created xsi:type="dcterms:W3CDTF">2026-06-10T13:54:52Z</dcterms:created>
  <dcterms:modified xsi:type="dcterms:W3CDTF">2026-07-29T14:14:36Z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93fc94-2a04-4870-acee-9c0cd4b7d590_Enabled">
    <vt:lpwstr>true</vt:lpwstr>
  </property>
  <property fmtid="{D5CDD505-2E9C-101B-9397-08002B2CF9AE}" pid="3" name="MSIP_Label_ce93fc94-2a04-4870-acee-9c0cd4b7d590_SetDate">
    <vt:lpwstr>2026-07-02T10:58:38Z</vt:lpwstr>
  </property>
  <property fmtid="{D5CDD505-2E9C-101B-9397-08002B2CF9AE}" pid="4" name="MSIP_Label_ce93fc94-2a04-4870-acee-9c0cd4b7d590_Method">
    <vt:lpwstr>Standard</vt:lpwstr>
  </property>
  <property fmtid="{D5CDD505-2E9C-101B-9397-08002B2CF9AE}" pid="5" name="MSIP_Label_ce93fc94-2a04-4870-acee-9c0cd4b7d590_Name">
    <vt:lpwstr>Internal</vt:lpwstr>
  </property>
  <property fmtid="{D5CDD505-2E9C-101B-9397-08002B2CF9AE}" pid="6" name="MSIP_Label_ce93fc94-2a04-4870-acee-9c0cd4b7d590_SiteId">
    <vt:lpwstr>cffa6640-7572-4f05-9c64-cd88068c19d4</vt:lpwstr>
  </property>
  <property fmtid="{D5CDD505-2E9C-101B-9397-08002B2CF9AE}" pid="7" name="MSIP_Label_ce93fc94-2a04-4870-acee-9c0cd4b7d590_ActionId">
    <vt:lpwstr>e8255b69-45bc-4e64-9681-d5628c9073b0</vt:lpwstr>
  </property>
  <property fmtid="{D5CDD505-2E9C-101B-9397-08002B2CF9AE}" pid="8" name="MSIP_Label_ce93fc94-2a04-4870-acee-9c0cd4b7d590_ContentBits">
    <vt:lpwstr>0</vt:lpwstr>
  </property>
  <property fmtid="{D5CDD505-2E9C-101B-9397-08002B2CF9AE}" pid="9" name="MSIP_Label_ce93fc94-2a04-4870-acee-9c0cd4b7d590_Tag">
    <vt:lpwstr>10, 3, 0, 1</vt:lpwstr>
  </property>
</Properties>
</file>